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natha\PycharmProjects\IAM\biochar\gcam\input\biochar_land_R\"/>
    </mc:Choice>
  </mc:AlternateContent>
  <xr:revisionPtr revIDLastSave="0" documentId="13_ncr:1_{0D98B74E-259F-46DE-8055-B2F77A6A015B}" xr6:coauthVersionLast="47" xr6:coauthVersionMax="47" xr10:uidLastSave="{00000000-0000-0000-0000-000000000000}"/>
  <bookViews>
    <workbookView xWindow="-105" yWindow="0" windowWidth="14610" windowHeight="17385" activeTab="1" xr2:uid="{00000000-000D-0000-FFFF-FFFF00000000}"/>
  </bookViews>
  <sheets>
    <sheet name="biochar_land" sheetId="2" r:id="rId1"/>
    <sheet name="gompertz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3" l="1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G26" i="3"/>
  <c r="G27" i="3"/>
  <c r="G28" i="3"/>
  <c r="G29" i="3"/>
  <c r="G2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G16" i="3"/>
  <c r="G17" i="3"/>
  <c r="G18" i="3"/>
  <c r="G19" i="3"/>
  <c r="G15" i="3"/>
  <c r="F22" i="2"/>
  <c r="F24" i="2"/>
  <c r="F25" i="2"/>
  <c r="F26" i="2"/>
  <c r="F23" i="2"/>
  <c r="D23" i="2"/>
  <c r="E23" i="2" s="1"/>
  <c r="D24" i="2"/>
  <c r="E24" i="2" s="1"/>
  <c r="D25" i="2"/>
  <c r="E25" i="2" s="1"/>
  <c r="D26" i="2"/>
  <c r="E26" i="2" s="1"/>
  <c r="D22" i="2"/>
  <c r="E22" i="2" s="1"/>
  <c r="G22" i="2" s="1"/>
  <c r="B23" i="2"/>
  <c r="C23" i="2" s="1"/>
  <c r="B24" i="2"/>
  <c r="C24" i="2" s="1"/>
  <c r="B25" i="2"/>
  <c r="C25" i="2" s="1"/>
  <c r="B26" i="2"/>
  <c r="C26" i="2" s="1"/>
  <c r="B22" i="2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G4" i="3"/>
  <c r="H4" i="3"/>
  <c r="G5" i="3"/>
  <c r="H5" i="3"/>
  <c r="G6" i="3"/>
  <c r="H6" i="3"/>
  <c r="G7" i="3"/>
  <c r="H7" i="3"/>
  <c r="G3" i="3"/>
  <c r="H3" i="3"/>
  <c r="G11" i="3"/>
  <c r="G10" i="3"/>
  <c r="G9" i="3"/>
  <c r="A13" i="2"/>
  <c r="A14" i="2"/>
  <c r="A15" i="2"/>
  <c r="A16" i="2"/>
  <c r="A17" i="2"/>
  <c r="G25" i="2" l="1"/>
  <c r="C22" i="2"/>
  <c r="G23" i="2"/>
  <c r="G26" i="2" l="1"/>
  <c r="G24" i="2"/>
</calcChain>
</file>

<file path=xl/sharedStrings.xml><?xml version="1.0" encoding="utf-8"?>
<sst xmlns="http://schemas.openxmlformats.org/spreadsheetml/2006/main" count="80" uniqueCount="46">
  <si>
    <t>CAPEX</t>
  </si>
  <si>
    <t>OPEX</t>
  </si>
  <si>
    <t>TOTAL COST</t>
  </si>
  <si>
    <t>TO EUAW</t>
  </si>
  <si>
    <t>kg per ton</t>
  </si>
  <si>
    <t>Bora, R. R. et al. Techno-Economic Feasibility and Spatial Analysis of Thermochemical Conversion Pathways for Regional Poultry Waste Valorization. ACS Sustainable Chem. Eng. 8, 5763â5775 (2020).</t>
  </si>
  <si>
    <t>Beef</t>
  </si>
  <si>
    <t>Dairy</t>
  </si>
  <si>
    <t>Goat</t>
  </si>
  <si>
    <t>Pork</t>
  </si>
  <si>
    <t>Poultry</t>
  </si>
  <si>
    <t>Lima, I. M., McAloon, A. &amp; Boateng, A. A. Activated carbon from broiler litter: Process description and cost of production. Biomass and Bioenergy 32, 568â572 (2008).</t>
  </si>
  <si>
    <t>Santos, T. M., Silva, W. R. da, Carregosa, J. de C. &amp; Wisniewski, A. Comprehensive characterization of cattle manure bio-oil for scale-up assessment comparing non-equivalent reactor designs. Journal of Analytical and Applied Pyrolysis 162, 105465 (2022).</t>
  </si>
  <si>
    <t>Atienza-MartÃ­nez, M., Ãbrego, J., Gea, G. &amp; MarÃ­as, F. Pyrolysis of dairy cattle manure: evolution of char characteristics. Journal of Analytical and Applied Pyrolysis 145, 104724 (2020).</t>
  </si>
  <si>
    <t>Poddar, S. &amp; Sarat Chandra Babu, J. Modelling and optimization of a pyrolysis plant using swine and goat manure as feedstock. Renewable Energy 175, 253â269 (2021).</t>
  </si>
  <si>
    <t>Baniasadi, M. et al. Waste to energy valorization of poultry litter by slow pyrolysis. Renewable Energy 90, 458â468 (2016).</t>
  </si>
  <si>
    <t>tons feedstock/hr</t>
  </si>
  <si>
    <t>B_max</t>
  </si>
  <si>
    <t>k1</t>
  </si>
  <si>
    <t>k2</t>
  </si>
  <si>
    <t>t0</t>
  </si>
  <si>
    <t>Year</t>
  </si>
  <si>
    <t>Time Period</t>
  </si>
  <si>
    <t>(4 years from 2024)</t>
  </si>
  <si>
    <t>TEA</t>
  </si>
  <si>
    <t>Parameter</t>
  </si>
  <si>
    <t>Name</t>
  </si>
  <si>
    <t>availability</t>
  </si>
  <si>
    <t>days per year</t>
  </si>
  <si>
    <t>hours per day</t>
  </si>
  <si>
    <t>project lifetime (years)</t>
  </si>
  <si>
    <t>Pre-treatment plant cost (2007$)</t>
  </si>
  <si>
    <t>Pyrolysis plant cost (2007$)</t>
  </si>
  <si>
    <t>1975$/2007$</t>
  </si>
  <si>
    <t>yearly opex costs as fraction of capex costs</t>
  </si>
  <si>
    <r>
      <t xml:space="preserve">McCarl, B.A., Peacocke, C., Chrisman, R., Kung, C.C. and Sands, R.D., 2012. Economics of biochar production, utilization and greenhouse gas offsets. In </t>
    </r>
    <r>
      <rPr>
        <i/>
        <sz val="11"/>
        <color theme="1"/>
        <rFont val="Calibri"/>
        <family val="2"/>
        <scheme val="minor"/>
      </rPr>
      <t>Biochar for environmental management</t>
    </r>
    <r>
      <rPr>
        <sz val="11"/>
        <color theme="1"/>
        <rFont val="Calibri"/>
        <family val="2"/>
        <scheme val="minor"/>
      </rPr>
      <t xml:space="preserve"> (pp. 373-390). Routledge.</t>
    </r>
  </si>
  <si>
    <t>interest rate</t>
  </si>
  <si>
    <t>Production estimates (kg biochar per year)</t>
  </si>
  <si>
    <t>Unit cost  ($1975/kg biochar)</t>
  </si>
  <si>
    <t>beef biochar yield</t>
  </si>
  <si>
    <t>goat biochar yield</t>
  </si>
  <si>
    <t>pork biochar yield</t>
  </si>
  <si>
    <t>poultry biochar yield</t>
  </si>
  <si>
    <t>dairy biochar yield</t>
  </si>
  <si>
    <t>Low Adoption</t>
  </si>
  <si>
    <t>High Adoption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</si>
</sst>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00_);[Red]\(&quot;$&quot;#,##0.0000\)"/>
    <numFmt numFmtId="165" formatCode="0.00000"/>
    <numFmt numFmtId="166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9" fontId="0" fillId="0" borderId="0" xfId="0" applyNumberFormat="1"/>
    <xf numFmtId="10" fontId="0" fillId="0" borderId="0" xfId="0" applyNumberFormat="1"/>
    <xf numFmtId="2" fontId="0" fillId="0" borderId="0" xfId="0" applyNumberFormat="1"/>
    <xf numFmtId="8" fontId="0" fillId="0" borderId="0" xfId="0" applyNumberFormat="1"/>
    <xf numFmtId="164" fontId="0" fillId="0" borderId="0" xfId="0" applyNumberFormat="1"/>
    <xf numFmtId="0" fontId="0" fillId="0" borderId="0" xfId="0" quotePrefix="1"/>
    <xf numFmtId="11" fontId="0" fillId="0" borderId="0" xfId="0" applyNumberFormat="1"/>
    <xf numFmtId="165" fontId="0" fillId="0" borderId="0" xfId="0" applyNumberFormat="1"/>
    <xf numFmtId="166" fontId="0" fillId="0" borderId="0" xfId="0" applyNumberFormat="1"/>
    <xf numFmtId="44" fontId="0" fillId="0" borderId="0" xfId="1" applyFont="1"/>
    <xf numFmtId="44" fontId="0" fillId="0" borderId="0" xfId="0" applyNumberFormat="1"/>
    <xf numFmtId="0" fontId="3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229AC-139E-41F1-AA79-F61EE8EC5D09}">
  <dimension ref="A1:P34"/>
  <sheetViews>
    <sheetView topLeftCell="A11" workbookViewId="0">
      <selection activeCell="I23" sqref="I23"/>
    </sheetView>
  </sheetViews>
  <sheetFormatPr defaultRowHeight="15" x14ac:dyDescent="0.25"/>
  <cols>
    <col min="1" max="1" width="11.140625" bestFit="1" customWidth="1"/>
    <col min="2" max="2" width="14.28515625" bestFit="1" customWidth="1"/>
    <col min="3" max="3" width="12.5703125" bestFit="1" customWidth="1"/>
    <col min="4" max="4" width="14.42578125" bestFit="1" customWidth="1"/>
    <col min="5" max="5" width="17.28515625" bestFit="1" customWidth="1"/>
    <col min="6" max="6" width="12.5703125" bestFit="1" customWidth="1"/>
    <col min="9" max="9" width="9.5703125" bestFit="1" customWidth="1"/>
    <col min="12" max="12" width="12.5703125" bestFit="1" customWidth="1"/>
    <col min="13" max="13" width="13.5703125" bestFit="1" customWidth="1"/>
    <col min="14" max="14" width="11.85546875" bestFit="1" customWidth="1"/>
  </cols>
  <sheetData>
    <row r="1" spans="1:3" x14ac:dyDescent="0.25">
      <c r="A1" t="s">
        <v>24</v>
      </c>
    </row>
    <row r="2" spans="1:3" x14ac:dyDescent="0.25">
      <c r="A2" t="s">
        <v>25</v>
      </c>
      <c r="B2" t="s">
        <v>26</v>
      </c>
    </row>
    <row r="3" spans="1:3" x14ac:dyDescent="0.25">
      <c r="A3">
        <v>10</v>
      </c>
      <c r="B3" t="s">
        <v>16</v>
      </c>
      <c r="C3" t="s">
        <v>35</v>
      </c>
    </row>
    <row r="4" spans="1:3" x14ac:dyDescent="0.25">
      <c r="A4" s="1">
        <v>0.8</v>
      </c>
      <c r="B4" t="s">
        <v>27</v>
      </c>
      <c r="C4" t="s">
        <v>35</v>
      </c>
    </row>
    <row r="5" spans="1:3" x14ac:dyDescent="0.25">
      <c r="A5" s="3">
        <v>20</v>
      </c>
      <c r="B5" t="s">
        <v>30</v>
      </c>
      <c r="C5" t="s">
        <v>35</v>
      </c>
    </row>
    <row r="6" spans="1:3" x14ac:dyDescent="0.25">
      <c r="A6">
        <v>365</v>
      </c>
      <c r="B6" t="s">
        <v>28</v>
      </c>
      <c r="C6" t="s">
        <v>11</v>
      </c>
    </row>
    <row r="7" spans="1:3" x14ac:dyDescent="0.25">
      <c r="A7">
        <v>24</v>
      </c>
      <c r="B7" t="s">
        <v>29</v>
      </c>
    </row>
    <row r="8" spans="1:3" x14ac:dyDescent="0.25">
      <c r="A8">
        <v>3600000</v>
      </c>
      <c r="B8" t="s">
        <v>31</v>
      </c>
      <c r="C8" t="s">
        <v>35</v>
      </c>
    </row>
    <row r="9" spans="1:3" x14ac:dyDescent="0.25">
      <c r="A9">
        <v>10600000</v>
      </c>
      <c r="B9" t="s">
        <v>32</v>
      </c>
      <c r="C9" t="s">
        <v>35</v>
      </c>
    </row>
    <row r="10" spans="1:3" x14ac:dyDescent="0.25">
      <c r="A10">
        <v>0.26</v>
      </c>
      <c r="B10" t="s">
        <v>33</v>
      </c>
    </row>
    <row r="11" spans="1:3" x14ac:dyDescent="0.25">
      <c r="A11" s="1">
        <v>0.12</v>
      </c>
      <c r="B11" t="s">
        <v>36</v>
      </c>
    </row>
    <row r="12" spans="1:3" x14ac:dyDescent="0.25">
      <c r="A12" s="1">
        <v>0.09</v>
      </c>
      <c r="B12" t="s">
        <v>34</v>
      </c>
      <c r="C12" t="s">
        <v>5</v>
      </c>
    </row>
    <row r="13" spans="1:3" x14ac:dyDescent="0.25">
      <c r="A13" s="1">
        <f>1/2.1815</f>
        <v>0.45840018336007332</v>
      </c>
      <c r="B13" t="s">
        <v>39</v>
      </c>
      <c r="C13" t="s">
        <v>12</v>
      </c>
    </row>
    <row r="14" spans="1:3" x14ac:dyDescent="0.25">
      <c r="A14" s="2">
        <f>1/2.1052</f>
        <v>0.47501425042751283</v>
      </c>
      <c r="B14" t="s">
        <v>43</v>
      </c>
      <c r="C14" t="s">
        <v>13</v>
      </c>
    </row>
    <row r="15" spans="1:3" x14ac:dyDescent="0.25">
      <c r="A15" s="2">
        <f>1/2.055</f>
        <v>0.48661800486618001</v>
      </c>
      <c r="B15" t="s">
        <v>40</v>
      </c>
      <c r="C15" t="s">
        <v>14</v>
      </c>
    </row>
    <row r="16" spans="1:3" x14ac:dyDescent="0.25">
      <c r="A16" s="2">
        <f>1/2.136</f>
        <v>0.46816479400749061</v>
      </c>
      <c r="B16" t="s">
        <v>41</v>
      </c>
      <c r="C16" t="s">
        <v>14</v>
      </c>
    </row>
    <row r="17" spans="1:16" x14ac:dyDescent="0.25">
      <c r="A17" s="1">
        <f>1/2.1276</f>
        <v>0.47001316036849028</v>
      </c>
      <c r="B17" t="s">
        <v>42</v>
      </c>
      <c r="C17" t="s">
        <v>15</v>
      </c>
    </row>
    <row r="18" spans="1:16" x14ac:dyDescent="0.25">
      <c r="A18" s="3">
        <v>1000</v>
      </c>
      <c r="B18" t="s">
        <v>4</v>
      </c>
    </row>
    <row r="19" spans="1:16" x14ac:dyDescent="0.25">
      <c r="A19" s="3"/>
    </row>
    <row r="21" spans="1:16" x14ac:dyDescent="0.25">
      <c r="B21" t="s">
        <v>0</v>
      </c>
      <c r="C21" t="s">
        <v>1</v>
      </c>
      <c r="D21" t="s">
        <v>2</v>
      </c>
      <c r="E21" t="s">
        <v>3</v>
      </c>
      <c r="F21" t="s">
        <v>37</v>
      </c>
      <c r="G21" t="s">
        <v>38</v>
      </c>
    </row>
    <row r="22" spans="1:16" x14ac:dyDescent="0.25">
      <c r="A22" t="s">
        <v>6</v>
      </c>
      <c r="B22" s="10">
        <f>(A$8+A$9)*A$10</f>
        <v>3692000</v>
      </c>
      <c r="C22" s="10">
        <f>0.09*B22</f>
        <v>332280</v>
      </c>
      <c r="D22" s="4">
        <f>-PV(A$11,A$5,C22)+B22</f>
        <v>6173946.7274915744</v>
      </c>
      <c r="E22" s="4">
        <f>-PMT(A$11,A$5,D22)</f>
        <v>826560.45590642723</v>
      </c>
      <c r="F22">
        <f>A$3*A$4*A$6*A$7*A13*A$18</f>
        <v>32124684.849873938</v>
      </c>
      <c r="G22" s="5">
        <f t="shared" ref="G22:G26" si="0">E22/F22</f>
        <v>2.5729760767121451E-2</v>
      </c>
      <c r="I22" s="8"/>
      <c r="L22" s="11"/>
      <c r="M22" s="4"/>
      <c r="N22" s="4"/>
      <c r="P22" s="5"/>
    </row>
    <row r="23" spans="1:16" x14ac:dyDescent="0.25">
      <c r="A23" t="s">
        <v>7</v>
      </c>
      <c r="B23" s="10">
        <f t="shared" ref="B23:B26" si="1">(A$8+A$9)*A$10</f>
        <v>3692000</v>
      </c>
      <c r="C23" s="10">
        <f t="shared" ref="C23:C26" si="2">0.09*B23</f>
        <v>332280</v>
      </c>
      <c r="D23" s="4">
        <f t="shared" ref="D23:D26" si="3">-PV(A$11,A$5,C23)+B23</f>
        <v>6173946.7274915744</v>
      </c>
      <c r="E23" s="4">
        <f>-PMT(A$11,A$5,D23)</f>
        <v>826560.45590642723</v>
      </c>
      <c r="F23">
        <f>A$3*A$4*A$6*A$7*A14*A$18</f>
        <v>33288998.6699601</v>
      </c>
      <c r="G23" s="5">
        <f t="shared" si="0"/>
        <v>2.4829838352942502E-2</v>
      </c>
      <c r="I23" s="8"/>
      <c r="L23" s="11"/>
      <c r="M23" s="4"/>
      <c r="N23" s="4"/>
      <c r="P23" s="5"/>
    </row>
    <row r="24" spans="1:16" x14ac:dyDescent="0.25">
      <c r="A24" t="s">
        <v>8</v>
      </c>
      <c r="B24" s="10">
        <f t="shared" si="1"/>
        <v>3692000</v>
      </c>
      <c r="C24" s="10">
        <f t="shared" si="2"/>
        <v>332280</v>
      </c>
      <c r="D24" s="4">
        <f t="shared" si="3"/>
        <v>6173946.7274915744</v>
      </c>
      <c r="E24" s="4">
        <f t="shared" ref="E24:E26" si="4">-PMT(A$11,A$5,D24)</f>
        <v>826560.45590642723</v>
      </c>
      <c r="F24">
        <f t="shared" ref="F24:F26" si="5">A$3*A$4*A$6*A$7*A15*A$18</f>
        <v>34102189.781021893</v>
      </c>
      <c r="G24" s="5">
        <f t="shared" si="0"/>
        <v>2.4237753094858851E-2</v>
      </c>
      <c r="I24" s="8"/>
      <c r="L24" s="11"/>
      <c r="M24" s="4"/>
      <c r="N24" s="4"/>
      <c r="P24" s="5"/>
    </row>
    <row r="25" spans="1:16" x14ac:dyDescent="0.25">
      <c r="A25" t="s">
        <v>9</v>
      </c>
      <c r="B25" s="10">
        <f t="shared" si="1"/>
        <v>3692000</v>
      </c>
      <c r="C25" s="10">
        <f t="shared" si="2"/>
        <v>332280</v>
      </c>
      <c r="D25" s="4">
        <f t="shared" si="3"/>
        <v>6173946.7274915744</v>
      </c>
      <c r="E25" s="4">
        <f t="shared" si="4"/>
        <v>826560.45590642723</v>
      </c>
      <c r="F25">
        <f t="shared" si="5"/>
        <v>32808988.764044944</v>
      </c>
      <c r="G25" s="5">
        <f t="shared" si="0"/>
        <v>2.519310978618905E-2</v>
      </c>
      <c r="I25" s="8"/>
      <c r="L25" s="11"/>
      <c r="M25" s="4"/>
      <c r="N25" s="4"/>
      <c r="P25" s="5"/>
    </row>
    <row r="26" spans="1:16" x14ac:dyDescent="0.25">
      <c r="A26" t="s">
        <v>10</v>
      </c>
      <c r="B26" s="10">
        <f t="shared" si="1"/>
        <v>3692000</v>
      </c>
      <c r="C26" s="10">
        <f t="shared" si="2"/>
        <v>332280</v>
      </c>
      <c r="D26" s="4">
        <f t="shared" si="3"/>
        <v>6173946.7274915744</v>
      </c>
      <c r="E26" s="4">
        <f t="shared" si="4"/>
        <v>826560.45590642723</v>
      </c>
      <c r="F26">
        <f t="shared" si="5"/>
        <v>32938522.278623801</v>
      </c>
      <c r="G26" s="5">
        <f t="shared" si="0"/>
        <v>2.5094035758939991E-2</v>
      </c>
      <c r="I26" s="8"/>
      <c r="L26" s="11"/>
      <c r="M26" s="4"/>
      <c r="N26" s="4"/>
      <c r="P26" s="5"/>
    </row>
    <row r="27" spans="1:16" x14ac:dyDescent="0.25">
      <c r="A27" s="6"/>
      <c r="B27" s="10"/>
      <c r="C27" s="10"/>
      <c r="D27" s="4"/>
      <c r="E27" s="4"/>
      <c r="G27" s="5"/>
    </row>
    <row r="30" spans="1:16" x14ac:dyDescent="0.25">
      <c r="B30" s="7"/>
      <c r="C30" s="7"/>
      <c r="E30" s="9"/>
      <c r="F30" s="9"/>
    </row>
    <row r="31" spans="1:16" x14ac:dyDescent="0.25">
      <c r="B31" s="7"/>
      <c r="C31" s="7"/>
      <c r="E31" s="9"/>
      <c r="F31" s="9"/>
    </row>
    <row r="32" spans="1:16" x14ac:dyDescent="0.25">
      <c r="B32" s="7"/>
      <c r="C32" s="7"/>
      <c r="E32" s="9"/>
      <c r="F32" s="9"/>
    </row>
    <row r="33" spans="2:6" x14ac:dyDescent="0.25">
      <c r="B33" s="7"/>
      <c r="C33" s="7"/>
      <c r="E33" s="9"/>
      <c r="F33" s="9"/>
    </row>
    <row r="34" spans="2:6" x14ac:dyDescent="0.25">
      <c r="E34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186C2-819E-40A3-BDA6-AECDD5B5B57C}">
  <dimension ref="A1:Y29"/>
  <sheetViews>
    <sheetView tabSelected="1" topLeftCell="B1" zoomScale="60" zoomScaleNormal="60" workbookViewId="0">
      <selection activeCell="O41" sqref="O41"/>
    </sheetView>
  </sheetViews>
  <sheetFormatPr defaultRowHeight="15" x14ac:dyDescent="0.25"/>
  <sheetData>
    <row r="1" spans="1:25" x14ac:dyDescent="0.25">
      <c r="B1" t="s">
        <v>17</v>
      </c>
      <c r="C1" t="s">
        <v>18</v>
      </c>
      <c r="D1" t="s">
        <v>19</v>
      </c>
      <c r="E1" t="s">
        <v>20</v>
      </c>
      <c r="F1" t="s">
        <v>21</v>
      </c>
      <c r="G1">
        <v>1975</v>
      </c>
      <c r="H1">
        <v>2015</v>
      </c>
      <c r="I1">
        <v>2020</v>
      </c>
      <c r="J1">
        <v>2025</v>
      </c>
      <c r="K1">
        <v>2030</v>
      </c>
      <c r="L1">
        <v>2035</v>
      </c>
      <c r="M1">
        <v>2040</v>
      </c>
      <c r="N1">
        <v>2045</v>
      </c>
      <c r="O1">
        <v>2050</v>
      </c>
      <c r="P1">
        <v>2055</v>
      </c>
      <c r="Q1">
        <v>2060</v>
      </c>
      <c r="R1">
        <v>2065</v>
      </c>
      <c r="S1">
        <v>2070</v>
      </c>
      <c r="T1">
        <v>2075</v>
      </c>
      <c r="U1">
        <v>2080</v>
      </c>
      <c r="V1">
        <v>2085</v>
      </c>
      <c r="W1">
        <v>2090</v>
      </c>
      <c r="X1">
        <v>2095</v>
      </c>
      <c r="Y1">
        <v>2100</v>
      </c>
    </row>
    <row r="2" spans="1:25" x14ac:dyDescent="0.25">
      <c r="E2" t="s">
        <v>23</v>
      </c>
      <c r="F2" t="s">
        <v>22</v>
      </c>
      <c r="G2">
        <v>0</v>
      </c>
      <c r="H2">
        <v>1</v>
      </c>
      <c r="I2">
        <v>2</v>
      </c>
      <c r="J2">
        <v>3</v>
      </c>
      <c r="K2">
        <v>4</v>
      </c>
      <c r="L2">
        <v>5</v>
      </c>
      <c r="M2">
        <v>6</v>
      </c>
      <c r="N2">
        <v>7</v>
      </c>
      <c r="O2">
        <v>8</v>
      </c>
      <c r="P2">
        <v>9</v>
      </c>
      <c r="Q2">
        <v>10</v>
      </c>
      <c r="R2">
        <v>11</v>
      </c>
      <c r="S2">
        <v>12</v>
      </c>
      <c r="T2">
        <v>13</v>
      </c>
      <c r="U2">
        <v>14</v>
      </c>
      <c r="V2">
        <v>15</v>
      </c>
      <c r="W2">
        <v>16</v>
      </c>
      <c r="X2">
        <v>17</v>
      </c>
      <c r="Y2">
        <v>18</v>
      </c>
    </row>
    <row r="3" spans="1:25" x14ac:dyDescent="0.25">
      <c r="A3" t="s">
        <v>6</v>
      </c>
      <c r="B3">
        <v>2.589</v>
      </c>
      <c r="C3">
        <v>11</v>
      </c>
      <c r="D3">
        <v>0.2</v>
      </c>
      <c r="E3">
        <v>2030</v>
      </c>
      <c r="G3">
        <f>IF($B3*EXP(-$C3*EXP(-$D3*(G$1-$E3))) &lt; 0.001, 0, $B3*EXP(-$C3*EXP(-$D3*(G$1-$E3))))</f>
        <v>0</v>
      </c>
      <c r="H3">
        <f>IF($B3*EXP(-$C3*EXP(-$D3*(H$1-$E3))) &lt; 0.001, 0, $B3*EXP(-$C3*EXP(-$D3*(H$1-$E3))))</f>
        <v>0</v>
      </c>
      <c r="I3">
        <f t="shared" ref="I3:Y7" si="0">IF($B3*EXP(-$C3*EXP(-$D3*(I$1-$E3))) &lt; 0.001, 0, $B3*EXP(-$C3*EXP(-$D3*(I$1-$E3))))</f>
        <v>0</v>
      </c>
      <c r="J3">
        <f t="shared" si="0"/>
        <v>0</v>
      </c>
      <c r="K3">
        <f t="shared" si="0"/>
        <v>0</v>
      </c>
      <c r="L3">
        <f t="shared" si="0"/>
        <v>4.5256808678761008E-2</v>
      </c>
      <c r="M3">
        <f t="shared" si="0"/>
        <v>0.58425577868748124</v>
      </c>
      <c r="N3">
        <f t="shared" si="0"/>
        <v>1.4972258294302512</v>
      </c>
      <c r="O3">
        <f t="shared" si="0"/>
        <v>2.1165759668119466</v>
      </c>
      <c r="P3">
        <f t="shared" si="0"/>
        <v>2.4040487226177558</v>
      </c>
      <c r="Q3">
        <f t="shared" si="0"/>
        <v>2.5193613247103341</v>
      </c>
      <c r="R3">
        <f t="shared" si="0"/>
        <v>2.5631603251914576</v>
      </c>
      <c r="S3">
        <f t="shared" si="0"/>
        <v>2.579463965049178</v>
      </c>
      <c r="T3">
        <f t="shared" si="0"/>
        <v>2.5854877966505807</v>
      </c>
      <c r="U3">
        <f t="shared" si="0"/>
        <v>2.5877073781943247</v>
      </c>
      <c r="V3">
        <f t="shared" si="0"/>
        <v>2.5885243959532129</v>
      </c>
      <c r="W3">
        <f t="shared" si="0"/>
        <v>2.5888250248894193</v>
      </c>
      <c r="X3">
        <f t="shared" si="0"/>
        <v>2.5889356288790717</v>
      </c>
      <c r="Y3">
        <f t="shared" si="0"/>
        <v>2.5889763190019117</v>
      </c>
    </row>
    <row r="4" spans="1:25" x14ac:dyDescent="0.25">
      <c r="A4" t="s">
        <v>7</v>
      </c>
      <c r="B4">
        <v>1.7999999999999999E-2</v>
      </c>
      <c r="C4">
        <v>11</v>
      </c>
      <c r="D4">
        <v>0.2</v>
      </c>
      <c r="E4">
        <v>2030</v>
      </c>
      <c r="G4">
        <f t="shared" ref="G4:V7" si="1">IF($B4*EXP(-$C4*EXP(-$D4*(G$1-$E4))) &lt; 0.001, 0, $B4*EXP(-$C4*EXP(-$D4*(G$1-$E4))))</f>
        <v>0</v>
      </c>
      <c r="H4">
        <f t="shared" si="1"/>
        <v>0</v>
      </c>
      <c r="I4">
        <f t="shared" si="1"/>
        <v>0</v>
      </c>
      <c r="J4">
        <f t="shared" si="1"/>
        <v>0</v>
      </c>
      <c r="K4">
        <f t="shared" si="1"/>
        <v>0</v>
      </c>
      <c r="L4">
        <f t="shared" si="1"/>
        <v>0</v>
      </c>
      <c r="M4">
        <f t="shared" si="1"/>
        <v>4.0620332237831834E-3</v>
      </c>
      <c r="N4">
        <f t="shared" si="1"/>
        <v>1.0409449567301861E-2</v>
      </c>
      <c r="O4">
        <f t="shared" si="1"/>
        <v>1.471547601491504E-2</v>
      </c>
      <c r="P4">
        <f t="shared" si="1"/>
        <v>1.6714127851340133E-2</v>
      </c>
      <c r="Q4">
        <f t="shared" si="1"/>
        <v>1.7515837715251451E-2</v>
      </c>
      <c r="R4">
        <f t="shared" si="1"/>
        <v>1.7820349885456253E-2</v>
      </c>
      <c r="S4">
        <f t="shared" si="1"/>
        <v>1.7933700799878407E-2</v>
      </c>
      <c r="T4">
        <f t="shared" si="1"/>
        <v>1.7975581436736367E-2</v>
      </c>
      <c r="U4">
        <f t="shared" si="1"/>
        <v>1.799101305812972E-2</v>
      </c>
      <c r="V4">
        <f t="shared" si="1"/>
        <v>1.7996693366998003E-2</v>
      </c>
      <c r="W4">
        <f t="shared" si="0"/>
        <v>1.7998783487064327E-2</v>
      </c>
      <c r="X4">
        <f t="shared" si="0"/>
        <v>1.799955246034117E-2</v>
      </c>
      <c r="Y4">
        <f t="shared" si="0"/>
        <v>1.7999835358066592E-2</v>
      </c>
    </row>
    <row r="5" spans="1:25" x14ac:dyDescent="0.25">
      <c r="A5" t="s">
        <v>8</v>
      </c>
      <c r="B5">
        <v>3.101</v>
      </c>
      <c r="C5">
        <v>11</v>
      </c>
      <c r="D5">
        <v>0.2</v>
      </c>
      <c r="E5">
        <v>2030</v>
      </c>
      <c r="G5">
        <f t="shared" si="1"/>
        <v>0</v>
      </c>
      <c r="H5">
        <f t="shared" si="1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5.4206783975603662E-2</v>
      </c>
      <c r="M5">
        <f t="shared" si="0"/>
        <v>0.69979805705286957</v>
      </c>
      <c r="N5">
        <f t="shared" si="0"/>
        <v>1.7933168393446151</v>
      </c>
      <c r="O5">
        <f t="shared" si="0"/>
        <v>2.5351495067917522</v>
      </c>
      <c r="P5">
        <f t="shared" si="0"/>
        <v>2.8794728037225417</v>
      </c>
      <c r="Q5">
        <f t="shared" si="0"/>
        <v>3.0175895974997089</v>
      </c>
      <c r="R5">
        <f t="shared" si="0"/>
        <v>3.07005027748888</v>
      </c>
      <c r="S5">
        <f t="shared" si="0"/>
        <v>3.0895781211346081</v>
      </c>
      <c r="T5">
        <f t="shared" si="0"/>
        <v>3.0967932241844154</v>
      </c>
      <c r="U5">
        <f t="shared" si="0"/>
        <v>3.0994517496255702</v>
      </c>
      <c r="V5">
        <f t="shared" si="0"/>
        <v>3.1004303406144897</v>
      </c>
      <c r="W5">
        <f t="shared" si="0"/>
        <v>3.1007904218548048</v>
      </c>
      <c r="X5">
        <f t="shared" si="0"/>
        <v>3.1009228988621094</v>
      </c>
      <c r="Y5">
        <f t="shared" si="0"/>
        <v>3.1009716358535835</v>
      </c>
    </row>
    <row r="6" spans="1:25" x14ac:dyDescent="0.25">
      <c r="A6" t="s">
        <v>9</v>
      </c>
      <c r="B6">
        <v>0.30399999999999999</v>
      </c>
      <c r="C6">
        <v>11</v>
      </c>
      <c r="D6">
        <v>0.2</v>
      </c>
      <c r="E6">
        <v>2030</v>
      </c>
      <c r="G6">
        <f t="shared" si="1"/>
        <v>0</v>
      </c>
      <c r="H6">
        <f t="shared" si="1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5.314047832500327E-3</v>
      </c>
      <c r="M6">
        <f t="shared" si="0"/>
        <v>6.8603227779449327E-2</v>
      </c>
      <c r="N6">
        <f t="shared" si="0"/>
        <v>0.17580403713665366</v>
      </c>
      <c r="O6">
        <f t="shared" si="0"/>
        <v>0.24852803936300957</v>
      </c>
      <c r="P6">
        <f t="shared" si="0"/>
        <v>0.28228304815596666</v>
      </c>
      <c r="Q6">
        <f t="shared" si="0"/>
        <v>0.29582303696869122</v>
      </c>
      <c r="R6">
        <f t="shared" si="0"/>
        <v>0.30096590917659449</v>
      </c>
      <c r="S6">
        <f t="shared" si="0"/>
        <v>0.30288028017572421</v>
      </c>
      <c r="T6">
        <f t="shared" si="0"/>
        <v>0.30358759759821419</v>
      </c>
      <c r="U6">
        <f t="shared" si="0"/>
        <v>0.30384822053730193</v>
      </c>
      <c r="V6">
        <f t="shared" si="0"/>
        <v>0.30394415464263297</v>
      </c>
      <c r="W6">
        <f t="shared" si="0"/>
        <v>0.30397945444819757</v>
      </c>
      <c r="X6">
        <f t="shared" si="0"/>
        <v>0.30399244155242866</v>
      </c>
      <c r="Y6">
        <f t="shared" si="0"/>
        <v>0.30399721938068025</v>
      </c>
    </row>
    <row r="7" spans="1:25" x14ac:dyDescent="0.25">
      <c r="A7" t="s">
        <v>10</v>
      </c>
      <c r="B7">
        <v>1.381</v>
      </c>
      <c r="C7">
        <v>11</v>
      </c>
      <c r="D7">
        <v>0.2</v>
      </c>
      <c r="E7">
        <v>2030</v>
      </c>
      <c r="G7">
        <f t="shared" si="1"/>
        <v>0</v>
      </c>
      <c r="H7">
        <f t="shared" si="1"/>
        <v>0</v>
      </c>
      <c r="I7">
        <f t="shared" si="0"/>
        <v>0</v>
      </c>
      <c r="J7">
        <f t="shared" si="0"/>
        <v>0</v>
      </c>
      <c r="K7">
        <f t="shared" si="0"/>
        <v>0</v>
      </c>
      <c r="L7">
        <f t="shared" si="0"/>
        <v>2.4140460712772868E-2</v>
      </c>
      <c r="M7">
        <f t="shared" si="0"/>
        <v>0.31164821566914319</v>
      </c>
      <c r="N7">
        <f t="shared" si="0"/>
        <v>0.79863610291354836</v>
      </c>
      <c r="O7">
        <f t="shared" si="0"/>
        <v>1.1290040209220928</v>
      </c>
      <c r="P7">
        <f t="shared" si="0"/>
        <v>1.2823450312611513</v>
      </c>
      <c r="Q7">
        <f t="shared" si="0"/>
        <v>1.3438539935979033</v>
      </c>
      <c r="R7">
        <f t="shared" si="0"/>
        <v>1.367216843989727</v>
      </c>
      <c r="S7">
        <f t="shared" si="0"/>
        <v>1.3759133780351156</v>
      </c>
      <c r="T7">
        <f t="shared" si="0"/>
        <v>1.3791265535629402</v>
      </c>
      <c r="U7">
        <f t="shared" si="0"/>
        <v>1.3803105018487303</v>
      </c>
      <c r="V7">
        <f t="shared" si="0"/>
        <v>1.3807463077680135</v>
      </c>
      <c r="W7">
        <f t="shared" si="0"/>
        <v>1.3809066664242133</v>
      </c>
      <c r="X7">
        <f t="shared" si="0"/>
        <v>1.380965663762842</v>
      </c>
      <c r="Y7">
        <f t="shared" si="0"/>
        <v>1.380987368304998</v>
      </c>
    </row>
    <row r="9" spans="1:25" x14ac:dyDescent="0.25">
      <c r="G9">
        <f>-$C3*EXP(-$D3*G$1-$E3)</f>
        <v>0</v>
      </c>
    </row>
    <row r="10" spans="1:25" x14ac:dyDescent="0.25">
      <c r="G10">
        <f>EXP(-$D3*G$1-$E3)</f>
        <v>0</v>
      </c>
    </row>
    <row r="11" spans="1:25" x14ac:dyDescent="0.25">
      <c r="G11">
        <f>-$D3*G$1-$E3</f>
        <v>-2425</v>
      </c>
    </row>
    <row r="12" spans="1:25" x14ac:dyDescent="0.25">
      <c r="A12" s="12" t="s">
        <v>44</v>
      </c>
    </row>
    <row r="13" spans="1:25" x14ac:dyDescent="0.25"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>
        <v>1975</v>
      </c>
      <c r="H13">
        <v>2015</v>
      </c>
      <c r="I13">
        <v>2020</v>
      </c>
      <c r="J13">
        <v>2025</v>
      </c>
      <c r="K13">
        <v>2030</v>
      </c>
      <c r="L13">
        <v>2035</v>
      </c>
      <c r="M13">
        <v>2040</v>
      </c>
      <c r="N13">
        <v>2045</v>
      </c>
      <c r="O13">
        <v>2050</v>
      </c>
      <c r="P13">
        <v>2055</v>
      </c>
      <c r="Q13">
        <v>2060</v>
      </c>
      <c r="R13">
        <v>2065</v>
      </c>
      <c r="S13">
        <v>2070</v>
      </c>
      <c r="T13">
        <v>2075</v>
      </c>
      <c r="U13">
        <v>2080</v>
      </c>
      <c r="V13">
        <v>2085</v>
      </c>
      <c r="W13">
        <v>2090</v>
      </c>
      <c r="X13">
        <v>2095</v>
      </c>
      <c r="Y13">
        <v>2100</v>
      </c>
    </row>
    <row r="14" spans="1:25" x14ac:dyDescent="0.25">
      <c r="E14" t="s">
        <v>23</v>
      </c>
      <c r="F14" t="s">
        <v>22</v>
      </c>
      <c r="G14">
        <v>0</v>
      </c>
      <c r="H14">
        <v>1</v>
      </c>
      <c r="I14">
        <v>2</v>
      </c>
      <c r="J14">
        <v>3</v>
      </c>
      <c r="K14">
        <v>4</v>
      </c>
      <c r="L14">
        <v>5</v>
      </c>
      <c r="M14">
        <v>6</v>
      </c>
      <c r="N14">
        <v>7</v>
      </c>
      <c r="O14">
        <v>8</v>
      </c>
      <c r="P14">
        <v>9</v>
      </c>
      <c r="Q14">
        <v>10</v>
      </c>
      <c r="R14">
        <v>11</v>
      </c>
      <c r="S14">
        <v>12</v>
      </c>
      <c r="T14">
        <v>13</v>
      </c>
      <c r="U14">
        <v>14</v>
      </c>
      <c r="V14">
        <v>15</v>
      </c>
      <c r="W14">
        <v>16</v>
      </c>
      <c r="X14">
        <v>17</v>
      </c>
      <c r="Y14">
        <v>18</v>
      </c>
    </row>
    <row r="15" spans="1:25" x14ac:dyDescent="0.25">
      <c r="A15" t="s">
        <v>6</v>
      </c>
      <c r="B15">
        <v>2.589</v>
      </c>
      <c r="C15">
        <v>11</v>
      </c>
      <c r="D15">
        <v>0.2</v>
      </c>
      <c r="E15">
        <v>2030</v>
      </c>
      <c r="G15">
        <f>G3*0.3</f>
        <v>0</v>
      </c>
      <c r="H15">
        <f t="shared" ref="H15:Y19" si="2">H3*0.3</f>
        <v>0</v>
      </c>
      <c r="I15">
        <f t="shared" si="2"/>
        <v>0</v>
      </c>
      <c r="J15">
        <f t="shared" si="2"/>
        <v>0</v>
      </c>
      <c r="K15">
        <f t="shared" si="2"/>
        <v>0</v>
      </c>
      <c r="L15">
        <f t="shared" si="2"/>
        <v>1.3577042603628303E-2</v>
      </c>
      <c r="M15">
        <f t="shared" si="2"/>
        <v>0.17527673360624438</v>
      </c>
      <c r="N15">
        <f t="shared" si="2"/>
        <v>0.44916774882907534</v>
      </c>
      <c r="O15">
        <f t="shared" si="2"/>
        <v>0.63497279004358398</v>
      </c>
      <c r="P15">
        <f t="shared" si="2"/>
        <v>0.72121461678532672</v>
      </c>
      <c r="Q15">
        <f t="shared" si="2"/>
        <v>0.75580839741310024</v>
      </c>
      <c r="R15">
        <f t="shared" si="2"/>
        <v>0.76894809755743732</v>
      </c>
      <c r="S15">
        <f t="shared" si="2"/>
        <v>0.77383918951475339</v>
      </c>
      <c r="T15">
        <f t="shared" si="2"/>
        <v>0.77564633899517421</v>
      </c>
      <c r="U15">
        <f t="shared" si="2"/>
        <v>0.77631221345829737</v>
      </c>
      <c r="V15">
        <f t="shared" si="2"/>
        <v>0.7765573187859639</v>
      </c>
      <c r="W15">
        <f t="shared" si="2"/>
        <v>0.77664750746682576</v>
      </c>
      <c r="X15">
        <f t="shared" si="2"/>
        <v>0.77668068866372153</v>
      </c>
      <c r="Y15">
        <f t="shared" si="2"/>
        <v>0.77669289570057354</v>
      </c>
    </row>
    <row r="16" spans="1:25" x14ac:dyDescent="0.25">
      <c r="A16" t="s">
        <v>7</v>
      </c>
      <c r="B16">
        <v>1.7999999999999999E-2</v>
      </c>
      <c r="C16">
        <v>11</v>
      </c>
      <c r="D16">
        <v>0.2</v>
      </c>
      <c r="E16">
        <v>2030</v>
      </c>
      <c r="G16">
        <f t="shared" ref="G16:V19" si="3">G4*0.3</f>
        <v>0</v>
      </c>
      <c r="H16">
        <f t="shared" si="3"/>
        <v>0</v>
      </c>
      <c r="I16">
        <f t="shared" si="3"/>
        <v>0</v>
      </c>
      <c r="J16">
        <f t="shared" si="3"/>
        <v>0</v>
      </c>
      <c r="K16">
        <f t="shared" si="3"/>
        <v>0</v>
      </c>
      <c r="L16">
        <f t="shared" si="3"/>
        <v>0</v>
      </c>
      <c r="M16">
        <f t="shared" si="3"/>
        <v>1.2186099671349551E-3</v>
      </c>
      <c r="N16">
        <f t="shared" si="3"/>
        <v>3.1228348701905582E-3</v>
      </c>
      <c r="O16">
        <f t="shared" si="3"/>
        <v>4.4146428044745121E-3</v>
      </c>
      <c r="P16">
        <f t="shared" si="3"/>
        <v>5.0142383554020393E-3</v>
      </c>
      <c r="Q16">
        <f t="shared" si="3"/>
        <v>5.2547513145754354E-3</v>
      </c>
      <c r="R16">
        <f t="shared" si="3"/>
        <v>5.346104965636876E-3</v>
      </c>
      <c r="S16">
        <f t="shared" si="3"/>
        <v>5.3801102399635217E-3</v>
      </c>
      <c r="T16">
        <f t="shared" si="3"/>
        <v>5.39267443102091E-3</v>
      </c>
      <c r="U16">
        <f t="shared" si="3"/>
        <v>5.3973039174389156E-3</v>
      </c>
      <c r="V16">
        <f t="shared" si="3"/>
        <v>5.3990080100994008E-3</v>
      </c>
      <c r="W16">
        <f t="shared" si="2"/>
        <v>5.3996350461192983E-3</v>
      </c>
      <c r="X16">
        <f t="shared" si="2"/>
        <v>5.3998657381023512E-3</v>
      </c>
      <c r="Y16">
        <f t="shared" si="2"/>
        <v>5.3999506074199777E-3</v>
      </c>
    </row>
    <row r="17" spans="1:25" x14ac:dyDescent="0.25">
      <c r="A17" t="s">
        <v>8</v>
      </c>
      <c r="B17">
        <v>3.101</v>
      </c>
      <c r="C17">
        <v>11</v>
      </c>
      <c r="D17">
        <v>0.2</v>
      </c>
      <c r="E17">
        <v>2030</v>
      </c>
      <c r="G17">
        <f t="shared" si="3"/>
        <v>0</v>
      </c>
      <c r="H17">
        <f t="shared" si="2"/>
        <v>0</v>
      </c>
      <c r="I17">
        <f t="shared" si="2"/>
        <v>0</v>
      </c>
      <c r="J17">
        <f t="shared" si="2"/>
        <v>0</v>
      </c>
      <c r="K17">
        <f t="shared" si="2"/>
        <v>0</v>
      </c>
      <c r="L17">
        <f t="shared" si="2"/>
        <v>1.6262035192681098E-2</v>
      </c>
      <c r="M17">
        <f t="shared" si="2"/>
        <v>0.20993941711586087</v>
      </c>
      <c r="N17">
        <f t="shared" si="2"/>
        <v>0.53799505180338447</v>
      </c>
      <c r="O17">
        <f t="shared" si="2"/>
        <v>0.76054485203752564</v>
      </c>
      <c r="P17">
        <f t="shared" si="2"/>
        <v>0.86384184111676243</v>
      </c>
      <c r="Q17">
        <f t="shared" si="2"/>
        <v>0.90527687924991262</v>
      </c>
      <c r="R17">
        <f t="shared" si="2"/>
        <v>0.92101508324666392</v>
      </c>
      <c r="S17">
        <f t="shared" si="2"/>
        <v>0.92687343634038233</v>
      </c>
      <c r="T17">
        <f t="shared" si="2"/>
        <v>0.92903796725532461</v>
      </c>
      <c r="U17">
        <f t="shared" si="2"/>
        <v>0.92983552488767107</v>
      </c>
      <c r="V17">
        <f t="shared" si="2"/>
        <v>0.93012910218434686</v>
      </c>
      <c r="W17">
        <f t="shared" si="2"/>
        <v>0.93023712655644142</v>
      </c>
      <c r="X17">
        <f t="shared" si="2"/>
        <v>0.93027686965863277</v>
      </c>
      <c r="Y17">
        <f t="shared" si="2"/>
        <v>0.93029149075607498</v>
      </c>
    </row>
    <row r="18" spans="1:25" x14ac:dyDescent="0.25">
      <c r="A18" t="s">
        <v>9</v>
      </c>
      <c r="B18">
        <v>0.30399999999999999</v>
      </c>
      <c r="C18">
        <v>11</v>
      </c>
      <c r="D18">
        <v>0.2</v>
      </c>
      <c r="E18">
        <v>2030</v>
      </c>
      <c r="G18">
        <f t="shared" si="3"/>
        <v>0</v>
      </c>
      <c r="H18">
        <f t="shared" si="2"/>
        <v>0</v>
      </c>
      <c r="I18">
        <f t="shared" si="2"/>
        <v>0</v>
      </c>
      <c r="J18">
        <f t="shared" si="2"/>
        <v>0</v>
      </c>
      <c r="K18">
        <f t="shared" si="2"/>
        <v>0</v>
      </c>
      <c r="L18">
        <f t="shared" si="2"/>
        <v>1.5942143497500981E-3</v>
      </c>
      <c r="M18">
        <f t="shared" si="2"/>
        <v>2.0580968333834798E-2</v>
      </c>
      <c r="N18">
        <f t="shared" si="2"/>
        <v>5.2741211140996093E-2</v>
      </c>
      <c r="O18">
        <f t="shared" si="2"/>
        <v>7.4558411808902866E-2</v>
      </c>
      <c r="P18">
        <f t="shared" si="2"/>
        <v>8.4684914446789994E-2</v>
      </c>
      <c r="Q18">
        <f t="shared" si="2"/>
        <v>8.8746911090607367E-2</v>
      </c>
      <c r="R18">
        <f t="shared" si="2"/>
        <v>9.0289772752978351E-2</v>
      </c>
      <c r="S18">
        <f t="shared" si="2"/>
        <v>9.0864084052717259E-2</v>
      </c>
      <c r="T18">
        <f t="shared" si="2"/>
        <v>9.1076279279464253E-2</v>
      </c>
      <c r="U18">
        <f t="shared" si="2"/>
        <v>9.1154466161190578E-2</v>
      </c>
      <c r="V18">
        <f t="shared" si="2"/>
        <v>9.1183246392789893E-2</v>
      </c>
      <c r="W18">
        <f t="shared" si="2"/>
        <v>9.1193836334459266E-2</v>
      </c>
      <c r="X18">
        <f t="shared" si="2"/>
        <v>9.1197732465728598E-2</v>
      </c>
      <c r="Y18">
        <f t="shared" si="2"/>
        <v>9.1199165814204078E-2</v>
      </c>
    </row>
    <row r="19" spans="1:25" x14ac:dyDescent="0.25">
      <c r="A19" t="s">
        <v>10</v>
      </c>
      <c r="B19">
        <v>1.381</v>
      </c>
      <c r="C19">
        <v>11</v>
      </c>
      <c r="D19">
        <v>0.2</v>
      </c>
      <c r="E19">
        <v>2030</v>
      </c>
      <c r="G19">
        <f t="shared" si="3"/>
        <v>0</v>
      </c>
      <c r="H19">
        <f t="shared" si="2"/>
        <v>0</v>
      </c>
      <c r="I19">
        <f t="shared" si="2"/>
        <v>0</v>
      </c>
      <c r="J19">
        <f t="shared" si="2"/>
        <v>0</v>
      </c>
      <c r="K19">
        <f t="shared" si="2"/>
        <v>0</v>
      </c>
      <c r="L19">
        <f t="shared" si="2"/>
        <v>7.2421382138318597E-3</v>
      </c>
      <c r="M19">
        <f t="shared" si="2"/>
        <v>9.3494464700742949E-2</v>
      </c>
      <c r="N19">
        <f t="shared" si="2"/>
        <v>0.23959083087406449</v>
      </c>
      <c r="O19">
        <f t="shared" si="2"/>
        <v>0.33870120627662786</v>
      </c>
      <c r="P19">
        <f t="shared" si="2"/>
        <v>0.38470350937834535</v>
      </c>
      <c r="Q19">
        <f t="shared" si="2"/>
        <v>0.40315619807937098</v>
      </c>
      <c r="R19">
        <f t="shared" si="2"/>
        <v>0.41016505319691809</v>
      </c>
      <c r="S19">
        <f t="shared" si="2"/>
        <v>0.41277401341053466</v>
      </c>
      <c r="T19">
        <f t="shared" si="2"/>
        <v>0.41373796606888208</v>
      </c>
      <c r="U19">
        <f t="shared" si="2"/>
        <v>0.41409315055461909</v>
      </c>
      <c r="V19">
        <f t="shared" si="2"/>
        <v>0.41422389233040408</v>
      </c>
      <c r="W19">
        <f t="shared" si="2"/>
        <v>0.41427199992726399</v>
      </c>
      <c r="X19">
        <f t="shared" si="2"/>
        <v>0.41428969912885261</v>
      </c>
      <c r="Y19">
        <f t="shared" si="2"/>
        <v>0.41429621049149939</v>
      </c>
    </row>
    <row r="22" spans="1:25" x14ac:dyDescent="0.25">
      <c r="A22" s="12" t="s">
        <v>45</v>
      </c>
    </row>
    <row r="23" spans="1:25" x14ac:dyDescent="0.25">
      <c r="B23" t="s">
        <v>17</v>
      </c>
      <c r="C23" t="s">
        <v>18</v>
      </c>
      <c r="D23" t="s">
        <v>19</v>
      </c>
      <c r="E23" t="s">
        <v>20</v>
      </c>
      <c r="F23" t="s">
        <v>21</v>
      </c>
      <c r="G23">
        <v>1975</v>
      </c>
      <c r="H23">
        <v>2015</v>
      </c>
      <c r="I23">
        <v>2020</v>
      </c>
      <c r="J23">
        <v>2025</v>
      </c>
      <c r="K23">
        <v>2030</v>
      </c>
      <c r="L23">
        <v>2035</v>
      </c>
      <c r="M23">
        <v>2040</v>
      </c>
      <c r="N23">
        <v>2045</v>
      </c>
      <c r="O23">
        <v>2050</v>
      </c>
      <c r="P23">
        <v>2055</v>
      </c>
      <c r="Q23">
        <v>2060</v>
      </c>
      <c r="R23">
        <v>2065</v>
      </c>
      <c r="S23">
        <v>2070</v>
      </c>
      <c r="T23">
        <v>2075</v>
      </c>
      <c r="U23">
        <v>2080</v>
      </c>
      <c r="V23">
        <v>2085</v>
      </c>
      <c r="W23">
        <v>2090</v>
      </c>
      <c r="X23">
        <v>2095</v>
      </c>
      <c r="Y23">
        <v>2100</v>
      </c>
    </row>
    <row r="24" spans="1:25" x14ac:dyDescent="0.25">
      <c r="E24" t="s">
        <v>23</v>
      </c>
      <c r="F24" t="s">
        <v>22</v>
      </c>
      <c r="G24">
        <v>0</v>
      </c>
      <c r="H24">
        <v>1</v>
      </c>
      <c r="I24">
        <v>2</v>
      </c>
      <c r="J24">
        <v>3</v>
      </c>
      <c r="K24">
        <v>4</v>
      </c>
      <c r="L24">
        <v>5</v>
      </c>
      <c r="M24">
        <v>6</v>
      </c>
      <c r="N24">
        <v>7</v>
      </c>
      <c r="O24">
        <v>8</v>
      </c>
      <c r="P24">
        <v>9</v>
      </c>
      <c r="Q24">
        <v>10</v>
      </c>
      <c r="R24">
        <v>11</v>
      </c>
      <c r="S24">
        <v>12</v>
      </c>
      <c r="T24">
        <v>13</v>
      </c>
      <c r="U24">
        <v>14</v>
      </c>
      <c r="V24">
        <v>15</v>
      </c>
      <c r="W24">
        <v>16</v>
      </c>
      <c r="X24">
        <v>17</v>
      </c>
      <c r="Y24">
        <v>18</v>
      </c>
    </row>
    <row r="25" spans="1:25" x14ac:dyDescent="0.25">
      <c r="A25" t="s">
        <v>6</v>
      </c>
      <c r="B25">
        <v>2.589</v>
      </c>
      <c r="C25">
        <v>11</v>
      </c>
      <c r="D25">
        <v>0.2</v>
      </c>
      <c r="E25">
        <v>2030</v>
      </c>
      <c r="G25">
        <f>G3*0.7</f>
        <v>0</v>
      </c>
      <c r="H25">
        <f t="shared" ref="H25:Y29" si="4">H3*0.7</f>
        <v>0</v>
      </c>
      <c r="I25">
        <f t="shared" si="4"/>
        <v>0</v>
      </c>
      <c r="J25">
        <f t="shared" si="4"/>
        <v>0</v>
      </c>
      <c r="K25">
        <f t="shared" si="4"/>
        <v>0</v>
      </c>
      <c r="L25">
        <f t="shared" si="4"/>
        <v>3.1679766075132704E-2</v>
      </c>
      <c r="M25">
        <f t="shared" si="4"/>
        <v>0.40897904508123684</v>
      </c>
      <c r="N25">
        <f t="shared" si="4"/>
        <v>1.0480580806011757</v>
      </c>
      <c r="O25">
        <f t="shared" si="4"/>
        <v>1.4816031767683626</v>
      </c>
      <c r="P25">
        <f t="shared" si="4"/>
        <v>1.682834105832429</v>
      </c>
      <c r="Q25">
        <f t="shared" si="4"/>
        <v>1.7635529272972337</v>
      </c>
      <c r="R25">
        <f t="shared" si="4"/>
        <v>1.7942122276340202</v>
      </c>
      <c r="S25">
        <f t="shared" si="4"/>
        <v>1.8056247755344244</v>
      </c>
      <c r="T25">
        <f t="shared" si="4"/>
        <v>1.8098414576554063</v>
      </c>
      <c r="U25">
        <f t="shared" si="4"/>
        <v>1.8113951647360271</v>
      </c>
      <c r="V25">
        <f t="shared" si="4"/>
        <v>1.8119670771672489</v>
      </c>
      <c r="W25">
        <f t="shared" si="4"/>
        <v>1.8121775174225934</v>
      </c>
      <c r="X25">
        <f t="shared" si="4"/>
        <v>1.8122549402153501</v>
      </c>
      <c r="Y25">
        <f t="shared" si="4"/>
        <v>1.8122834233013381</v>
      </c>
    </row>
    <row r="26" spans="1:25" x14ac:dyDescent="0.25">
      <c r="A26" t="s">
        <v>7</v>
      </c>
      <c r="B26">
        <v>1.7999999999999999E-2</v>
      </c>
      <c r="C26">
        <v>11</v>
      </c>
      <c r="D26">
        <v>0.2</v>
      </c>
      <c r="E26">
        <v>2030</v>
      </c>
      <c r="G26">
        <f t="shared" ref="G26:V29" si="5">G4*0.7</f>
        <v>0</v>
      </c>
      <c r="H26">
        <f t="shared" si="5"/>
        <v>0</v>
      </c>
      <c r="I26">
        <f t="shared" si="5"/>
        <v>0</v>
      </c>
      <c r="J26">
        <f t="shared" si="5"/>
        <v>0</v>
      </c>
      <c r="K26">
        <f t="shared" si="5"/>
        <v>0</v>
      </c>
      <c r="L26">
        <f t="shared" si="5"/>
        <v>0</v>
      </c>
      <c r="M26">
        <f t="shared" si="5"/>
        <v>2.8434232566482281E-3</v>
      </c>
      <c r="N26">
        <f t="shared" si="5"/>
        <v>7.2866146971113021E-3</v>
      </c>
      <c r="O26">
        <f t="shared" si="5"/>
        <v>1.0300833210440527E-2</v>
      </c>
      <c r="P26">
        <f t="shared" si="5"/>
        <v>1.1699889495938092E-2</v>
      </c>
      <c r="Q26">
        <f t="shared" si="5"/>
        <v>1.2261086400676016E-2</v>
      </c>
      <c r="R26">
        <f t="shared" si="5"/>
        <v>1.2474244919819376E-2</v>
      </c>
      <c r="S26">
        <f t="shared" si="5"/>
        <v>1.2553590559914883E-2</v>
      </c>
      <c r="T26">
        <f t="shared" si="5"/>
        <v>1.2582907005715457E-2</v>
      </c>
      <c r="U26">
        <f t="shared" si="5"/>
        <v>1.2593709140690803E-2</v>
      </c>
      <c r="V26">
        <f t="shared" si="5"/>
        <v>1.2597685356898602E-2</v>
      </c>
      <c r="W26">
        <f t="shared" si="4"/>
        <v>1.2599148440945028E-2</v>
      </c>
      <c r="X26">
        <f t="shared" si="4"/>
        <v>1.2599686722238818E-2</v>
      </c>
      <c r="Y26">
        <f t="shared" si="4"/>
        <v>1.2599884750646615E-2</v>
      </c>
    </row>
    <row r="27" spans="1:25" x14ac:dyDescent="0.25">
      <c r="A27" t="s">
        <v>8</v>
      </c>
      <c r="B27">
        <v>3.101</v>
      </c>
      <c r="C27">
        <v>11</v>
      </c>
      <c r="D27">
        <v>0.2</v>
      </c>
      <c r="E27">
        <v>2030</v>
      </c>
      <c r="G27">
        <f t="shared" si="5"/>
        <v>0</v>
      </c>
      <c r="H27">
        <f t="shared" si="4"/>
        <v>0</v>
      </c>
      <c r="I27">
        <f t="shared" si="4"/>
        <v>0</v>
      </c>
      <c r="J27">
        <f t="shared" si="4"/>
        <v>0</v>
      </c>
      <c r="K27">
        <f t="shared" si="4"/>
        <v>0</v>
      </c>
      <c r="L27">
        <f t="shared" si="4"/>
        <v>3.794474878292256E-2</v>
      </c>
      <c r="M27">
        <f t="shared" si="4"/>
        <v>0.48985863993700868</v>
      </c>
      <c r="N27">
        <f t="shared" si="4"/>
        <v>1.2553217875412304</v>
      </c>
      <c r="O27">
        <f t="shared" si="4"/>
        <v>1.7746046547542265</v>
      </c>
      <c r="P27">
        <f t="shared" si="4"/>
        <v>2.0156309626057789</v>
      </c>
      <c r="Q27">
        <f t="shared" si="4"/>
        <v>2.1123127182497963</v>
      </c>
      <c r="R27">
        <f t="shared" si="4"/>
        <v>2.1490351942422157</v>
      </c>
      <c r="S27">
        <f t="shared" si="4"/>
        <v>2.1627046847942255</v>
      </c>
      <c r="T27">
        <f t="shared" si="4"/>
        <v>2.1677552569290905</v>
      </c>
      <c r="U27">
        <f t="shared" si="4"/>
        <v>2.1696162247378989</v>
      </c>
      <c r="V27">
        <f t="shared" si="4"/>
        <v>2.1703012384301426</v>
      </c>
      <c r="W27">
        <f t="shared" si="4"/>
        <v>2.1705532952983631</v>
      </c>
      <c r="X27">
        <f t="shared" si="4"/>
        <v>2.1706460292034766</v>
      </c>
      <c r="Y27">
        <f t="shared" si="4"/>
        <v>2.1706801450975082</v>
      </c>
    </row>
    <row r="28" spans="1:25" x14ac:dyDescent="0.25">
      <c r="A28" t="s">
        <v>9</v>
      </c>
      <c r="B28">
        <v>0.30399999999999999</v>
      </c>
      <c r="C28">
        <v>11</v>
      </c>
      <c r="D28">
        <v>0.2</v>
      </c>
      <c r="E28">
        <v>2030</v>
      </c>
      <c r="G28">
        <f t="shared" si="5"/>
        <v>0</v>
      </c>
      <c r="H28">
        <f t="shared" si="4"/>
        <v>0</v>
      </c>
      <c r="I28">
        <f t="shared" si="4"/>
        <v>0</v>
      </c>
      <c r="J28">
        <f t="shared" si="4"/>
        <v>0</v>
      </c>
      <c r="K28">
        <f t="shared" si="4"/>
        <v>0</v>
      </c>
      <c r="L28">
        <f t="shared" si="4"/>
        <v>3.7198334827502288E-3</v>
      </c>
      <c r="M28">
        <f t="shared" si="4"/>
        <v>4.8022259445614529E-2</v>
      </c>
      <c r="N28">
        <f t="shared" si="4"/>
        <v>0.12306282599565756</v>
      </c>
      <c r="O28">
        <f t="shared" si="4"/>
        <v>0.17396962755410669</v>
      </c>
      <c r="P28">
        <f t="shared" si="4"/>
        <v>0.19759813370917664</v>
      </c>
      <c r="Q28">
        <f t="shared" si="4"/>
        <v>0.20707612587808386</v>
      </c>
      <c r="R28">
        <f t="shared" si="4"/>
        <v>0.21067613642361613</v>
      </c>
      <c r="S28">
        <f t="shared" si="4"/>
        <v>0.21201619612300693</v>
      </c>
      <c r="T28">
        <f t="shared" si="4"/>
        <v>0.21251131831874992</v>
      </c>
      <c r="U28">
        <f t="shared" si="4"/>
        <v>0.21269375437611135</v>
      </c>
      <c r="V28">
        <f t="shared" si="4"/>
        <v>0.21276090824984306</v>
      </c>
      <c r="W28">
        <f t="shared" si="4"/>
        <v>0.21278561811373828</v>
      </c>
      <c r="X28">
        <f t="shared" si="4"/>
        <v>0.21279470908670006</v>
      </c>
      <c r="Y28">
        <f t="shared" si="4"/>
        <v>0.21279805356647616</v>
      </c>
    </row>
    <row r="29" spans="1:25" x14ac:dyDescent="0.25">
      <c r="A29" t="s">
        <v>10</v>
      </c>
      <c r="B29">
        <v>1.381</v>
      </c>
      <c r="C29">
        <v>11</v>
      </c>
      <c r="D29">
        <v>0.2</v>
      </c>
      <c r="E29">
        <v>2030</v>
      </c>
      <c r="G29">
        <f t="shared" si="5"/>
        <v>0</v>
      </c>
      <c r="H29">
        <f t="shared" si="4"/>
        <v>0</v>
      </c>
      <c r="I29">
        <f t="shared" si="4"/>
        <v>0</v>
      </c>
      <c r="J29">
        <f t="shared" si="4"/>
        <v>0</v>
      </c>
      <c r="K29">
        <f t="shared" si="4"/>
        <v>0</v>
      </c>
      <c r="L29">
        <f t="shared" si="4"/>
        <v>1.6898322498941007E-2</v>
      </c>
      <c r="M29">
        <f t="shared" si="4"/>
        <v>0.21815375096840023</v>
      </c>
      <c r="N29">
        <f t="shared" si="4"/>
        <v>0.55904527203948384</v>
      </c>
      <c r="O29">
        <f t="shared" si="4"/>
        <v>0.79030281464546492</v>
      </c>
      <c r="P29">
        <f t="shared" si="4"/>
        <v>0.89764152188280588</v>
      </c>
      <c r="Q29">
        <f t="shared" si="4"/>
        <v>0.94069779551853216</v>
      </c>
      <c r="R29">
        <f t="shared" si="4"/>
        <v>0.95705179079280878</v>
      </c>
      <c r="S29">
        <f t="shared" si="4"/>
        <v>0.96313936462458083</v>
      </c>
      <c r="T29">
        <f t="shared" si="4"/>
        <v>0.96538858749405809</v>
      </c>
      <c r="U29">
        <f t="shared" si="4"/>
        <v>0.96621735129411113</v>
      </c>
      <c r="V29">
        <f t="shared" si="4"/>
        <v>0.96652241543760942</v>
      </c>
      <c r="W29">
        <f t="shared" si="4"/>
        <v>0.96663466649694929</v>
      </c>
      <c r="X29">
        <f t="shared" si="4"/>
        <v>0.9666759646339893</v>
      </c>
      <c r="Y29">
        <f t="shared" si="4"/>
        <v>0.96669115781349857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biochar_land</vt:lpstr>
      <vt:lpstr>gompertz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</dc:creator>
  <cp:lastModifiedBy>Nathan Preuss</cp:lastModifiedBy>
  <dcterms:created xsi:type="dcterms:W3CDTF">2015-06-05T18:17:20Z</dcterms:created>
  <dcterms:modified xsi:type="dcterms:W3CDTF">2025-10-29T14:26:02Z</dcterms:modified>
</cp:coreProperties>
</file>