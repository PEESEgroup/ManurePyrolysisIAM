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natha\PycharmProjects\IAM\biochar\data\data_analysis\"/>
    </mc:Choice>
  </mc:AlternateContent>
  <xr:revisionPtr revIDLastSave="0" documentId="13_ncr:1_{AE31D582-496A-4E12-B644-5A54F2E879C0}" xr6:coauthVersionLast="47" xr6:coauthVersionMax="47" xr10:uidLastSave="{00000000-0000-0000-0000-000000000000}"/>
  <bookViews>
    <workbookView xWindow="-135" yWindow="0" windowWidth="14355" windowHeight="17385" activeTab="4" xr2:uid="{00000000-000D-0000-FFFF-FFFF00000000}"/>
  </bookViews>
  <sheets>
    <sheet name="Swine" sheetId="1" r:id="rId1"/>
    <sheet name="Goat" sheetId="2" r:id="rId2"/>
    <sheet name="Poultry" sheetId="4" r:id="rId3"/>
    <sheet name="Dairy" sheetId="3" r:id="rId4"/>
    <sheet name="Beef"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5" l="1"/>
  <c r="B14" i="5"/>
  <c r="B15" i="5" s="1"/>
  <c r="B29" i="5" s="1"/>
  <c r="B30" i="5" s="1"/>
  <c r="B31" i="5" s="1"/>
  <c r="B9" i="5"/>
  <c r="B8" i="5"/>
  <c r="B7" i="5"/>
  <c r="B25" i="4"/>
  <c r="B14" i="4"/>
  <c r="B21" i="4" s="1"/>
  <c r="B9" i="4"/>
  <c r="B8" i="4"/>
  <c r="B7" i="4"/>
  <c r="B17" i="2"/>
  <c r="B13" i="2"/>
  <c r="B17" i="1"/>
  <c r="B13" i="1"/>
  <c r="B25" i="3"/>
  <c r="B14" i="3"/>
  <c r="B21" i="3" s="1"/>
  <c r="B9" i="3"/>
  <c r="B8" i="3"/>
  <c r="B7" i="3"/>
  <c r="B25" i="2"/>
  <c r="B14" i="2"/>
  <c r="B21" i="2" s="1"/>
  <c r="B9" i="2"/>
  <c r="B8" i="2"/>
  <c r="B7" i="2"/>
  <c r="B9" i="1"/>
  <c r="B8" i="1"/>
  <c r="B7" i="1"/>
  <c r="B14" i="1"/>
  <c r="B18" i="5" l="1"/>
  <c r="B23" i="5" s="1"/>
  <c r="B21" i="5"/>
  <c r="B22" i="4"/>
  <c r="B15" i="4"/>
  <c r="B29" i="4" s="1"/>
  <c r="B30" i="4" s="1"/>
  <c r="B31" i="4" s="1"/>
  <c r="B18" i="4"/>
  <c r="B23" i="4" s="1"/>
  <c r="B22" i="3"/>
  <c r="B15" i="3"/>
  <c r="B29" i="3" s="1"/>
  <c r="B30" i="3" s="1"/>
  <c r="B31" i="3" s="1"/>
  <c r="B18" i="3"/>
  <c r="B23" i="3" s="1"/>
  <c r="B22" i="2"/>
  <c r="B15" i="2"/>
  <c r="B29" i="2" s="1"/>
  <c r="B30" i="2" s="1"/>
  <c r="B31" i="2" s="1"/>
  <c r="B18" i="2"/>
  <c r="B23" i="2" s="1"/>
  <c r="B15" i="1"/>
  <c r="B29" i="1" s="1"/>
  <c r="B30" i="1" s="1"/>
  <c r="B31" i="1" s="1"/>
  <c r="B21" i="1"/>
  <c r="B18" i="1"/>
  <c r="B23" i="1" s="1"/>
  <c r="B22" i="5" l="1"/>
  <c r="B28" i="4"/>
  <c r="B27" i="4"/>
  <c r="B28" i="3"/>
  <c r="B27" i="3"/>
  <c r="B28" i="2"/>
  <c r="B27" i="2"/>
  <c r="B22" i="1"/>
  <c r="B27" i="1" s="1"/>
  <c r="B25" i="1"/>
  <c r="B28" i="5" l="1"/>
  <c r="B27" i="5"/>
  <c r="B32" i="4"/>
  <c r="B33" i="4" s="1"/>
  <c r="B32" i="3"/>
  <c r="B33" i="3" s="1"/>
  <c r="B32" i="2"/>
  <c r="B33" i="2" s="1"/>
  <c r="B28" i="1"/>
  <c r="B32" i="1" s="1"/>
  <c r="B33" i="1" s="1"/>
  <c r="B32" i="5" l="1"/>
  <c r="B33" i="5" s="1"/>
</calcChain>
</file>

<file path=xl/sharedStrings.xml><?xml version="1.0" encoding="utf-8"?>
<sst xmlns="http://schemas.openxmlformats.org/spreadsheetml/2006/main" count="379" uniqueCount="53">
  <si>
    <t>Initial Moisture Content</t>
  </si>
  <si>
    <t>Moisture Content After Drying</t>
  </si>
  <si>
    <t>Value</t>
  </si>
  <si>
    <t>Units</t>
  </si>
  <si>
    <t>input manure</t>
  </si>
  <si>
    <t>dry manure</t>
  </si>
  <si>
    <t>kg</t>
  </si>
  <si>
    <t>steam</t>
  </si>
  <si>
    <t>flue gas waste heat</t>
  </si>
  <si>
    <t>MJ</t>
  </si>
  <si>
    <t>energy in biochar</t>
  </si>
  <si>
    <t>%</t>
  </si>
  <si>
    <t>pyrolysis biochar</t>
  </si>
  <si>
    <t>biochar yield</t>
  </si>
  <si>
    <t>biochar calorific value</t>
  </si>
  <si>
    <t>MJ/kg</t>
  </si>
  <si>
    <t>dry manure calorific value</t>
  </si>
  <si>
    <t>energy consumption from drying</t>
  </si>
  <si>
    <t>energy consumption from pyrolysis</t>
  </si>
  <si>
    <t>enthalpy of steam</t>
  </si>
  <si>
    <t>energy in flue gas from pyrolysis</t>
  </si>
  <si>
    <t>Constants</t>
  </si>
  <si>
    <t>Inputs</t>
  </si>
  <si>
    <t>Energy Balance</t>
  </si>
  <si>
    <t>energy of manure into drying</t>
  </si>
  <si>
    <t>energy loss from pyrolysis</t>
  </si>
  <si>
    <t>energy in flue gas from burning</t>
  </si>
  <si>
    <t>energy loss from drying</t>
  </si>
  <si>
    <t>energy of dry manure from drying/into pyrolysis</t>
  </si>
  <si>
    <t>energy in flue gas from pyrolysis/into drying</t>
  </si>
  <si>
    <t>energy in steam from drying</t>
  </si>
  <si>
    <t>heat exchange efficiency</t>
  </si>
  <si>
    <t>N/A</t>
  </si>
  <si>
    <t>drying of sludge as percentage of water evaporation</t>
  </si>
  <si>
    <t>As a simplification of the Aspen Simulation</t>
  </si>
  <si>
    <t>These don't need to be calculated, because we assume the energy out from pyrolysis is the remainder of energy input and biochar, as the energy used in pyrolysis will already be taken out of the energy in the gas</t>
  </si>
  <si>
    <t>Energy in to the system is in the feedstock, output is in the volatiles and biochar</t>
  </si>
  <si>
    <t>The energy in biochar is known</t>
  </si>
  <si>
    <t>energy of dry sludge as percentage of wet sludge</t>
  </si>
  <si>
    <t>Based on the process flow, mass balance, and energy balance diagram from: Zhou, A., Wang, X., Yu, S., Deng, S., Tan, H. and Mikulčić, H., 2023. Process design and optimization on self-sustaining pyrolysis and carbonization of municipal sewage sludge. Waste Management, 159, pp.125-133.</t>
  </si>
  <si>
    <t>energy in biochar as a percentage of calorific value of biochar</t>
  </si>
  <si>
    <t>energy lost in pyrolysis as a percentage of input energy</t>
  </si>
  <si>
    <t>flue gas output energy as percentage of input energy</t>
  </si>
  <si>
    <t>remaining energy in input not in biochar is in the gas or lost</t>
  </si>
  <si>
    <r>
      <t xml:space="preserve">Maksimuk, Y., Antonava, Z., Krouk, V., Korsakova, A. and Kursevich, V., 2021. Prediction of higher heating value (HHV) based on the structural composition for biomass. </t>
    </r>
    <r>
      <rPr>
        <i/>
        <sz val="11"/>
        <color theme="1"/>
        <rFont val="Calibri"/>
        <family val="2"/>
        <scheme val="minor"/>
      </rPr>
      <t>Fuel</t>
    </r>
    <r>
      <rPr>
        <sz val="11"/>
        <color theme="1"/>
        <rFont val="Calibri"/>
        <family val="2"/>
        <scheme val="minor"/>
      </rPr>
      <t xml:space="preserve">, </t>
    </r>
    <r>
      <rPr>
        <i/>
        <sz val="11"/>
        <color theme="1"/>
        <rFont val="Calibri"/>
        <family val="2"/>
        <scheme val="minor"/>
      </rPr>
      <t>299</t>
    </r>
    <r>
      <rPr>
        <sz val="11"/>
        <color theme="1"/>
        <rFont val="Calibri"/>
        <family val="2"/>
        <scheme val="minor"/>
      </rPr>
      <t>, p.120860.</t>
    </r>
  </si>
  <si>
    <t>calorific value derived from equation  0.4047C − 0.0043L (C = Carbon%wt, L=Lignin%wt)</t>
  </si>
  <si>
    <t>calorific value derived from equation: HHV = 32.9C + 162.7H − 16.2O − 954.4S + 1.408</t>
  </si>
  <si>
    <r>
      <t xml:space="preserve">Qian, C., Li, Q., Zhang, Z., Wang, X., Hu, J. and Cao, W., 2020. Prediction of higher heating values of biochar from proximate and ultimate analysis. </t>
    </r>
    <r>
      <rPr>
        <i/>
        <sz val="11"/>
        <color theme="1"/>
        <rFont val="Calibri"/>
        <family val="2"/>
        <scheme val="minor"/>
      </rPr>
      <t>Fuel</t>
    </r>
    <r>
      <rPr>
        <sz val="11"/>
        <color theme="1"/>
        <rFont val="Calibri"/>
        <family val="2"/>
        <scheme val="minor"/>
      </rPr>
      <t xml:space="preserve">, </t>
    </r>
    <r>
      <rPr>
        <i/>
        <sz val="11"/>
        <color theme="1"/>
        <rFont val="Calibri"/>
        <family val="2"/>
        <scheme val="minor"/>
      </rPr>
      <t>265</t>
    </r>
    <r>
      <rPr>
        <sz val="11"/>
        <color theme="1"/>
        <rFont val="Calibri"/>
        <family val="2"/>
        <scheme val="minor"/>
      </rPr>
      <t>, p.116925.</t>
    </r>
  </si>
  <si>
    <t>77% moisture content of feedstock after mechanical separation results in a balanced system</t>
  </si>
  <si>
    <t>73% moisture content of feedstock after mechanical separation results in a balanced system</t>
  </si>
  <si>
    <t>76% moisture content of feedstock results in a balanced system</t>
  </si>
  <si>
    <t>68% moisture content of feedstock after mechanical separation results in a balanced system</t>
  </si>
  <si>
    <t>72% moisture content of feedstock after mechanical separation results in a balanced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</si>
</sst>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C6EFCE"/>
      </patternFill>
    </fill>
    <fill>
      <patternFill patternType="solid">
        <fgColor theme="8" tint="0.79998168889431442"/>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10">
    <xf numFmtId="0" fontId="0" fillId="0" borderId="0" xfId="0"/>
    <xf numFmtId="0" fontId="3" fillId="0" borderId="0" xfId="0" applyFont="1"/>
    <xf numFmtId="9" fontId="0" fillId="0" borderId="0" xfId="0" applyNumberFormat="1"/>
    <xf numFmtId="0" fontId="2" fillId="2" borderId="0" xfId="2"/>
    <xf numFmtId="9" fontId="0" fillId="3" borderId="0" xfId="1" applyFont="1" applyFill="1"/>
    <xf numFmtId="9" fontId="2" fillId="2" borderId="0" xfId="2" applyNumberFormat="1"/>
    <xf numFmtId="9" fontId="0" fillId="4" borderId="0" xfId="1" applyFont="1" applyFill="1"/>
    <xf numFmtId="0" fontId="0" fillId="4" borderId="0" xfId="0" applyFill="1"/>
    <xf numFmtId="2" fontId="0" fillId="4" borderId="0" xfId="1" applyNumberFormat="1" applyFont="1" applyFill="1"/>
    <xf numFmtId="164" fontId="0" fillId="4" borderId="0" xfId="1" applyNumberFormat="1" applyFont="1" applyFill="1"/>
  </cellXfs>
  <cellStyles count="3">
    <cellStyle name="Good" xfId="2" builtinId="26"/>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workbookViewId="0">
      <selection activeCell="D18" sqref="D18"/>
    </sheetView>
  </sheetViews>
  <sheetFormatPr defaultRowHeight="15" x14ac:dyDescent="0.25"/>
  <cols>
    <col min="1" max="1" width="47.7109375" bestFit="1" customWidth="1"/>
    <col min="2" max="2" width="7.7109375" bestFit="1" customWidth="1"/>
  </cols>
  <sheetData>
    <row r="1" spans="1:4" x14ac:dyDescent="0.25">
      <c r="A1" s="1" t="s">
        <v>21</v>
      </c>
      <c r="B1" t="s">
        <v>2</v>
      </c>
      <c r="C1" t="s">
        <v>3</v>
      </c>
    </row>
    <row r="2" spans="1:4" x14ac:dyDescent="0.25">
      <c r="A2" t="s">
        <v>0</v>
      </c>
      <c r="B2" s="6">
        <v>0.76</v>
      </c>
      <c r="C2" t="s">
        <v>11</v>
      </c>
      <c r="D2" t="s">
        <v>39</v>
      </c>
    </row>
    <row r="3" spans="1:4" x14ac:dyDescent="0.25">
      <c r="A3" t="s">
        <v>1</v>
      </c>
      <c r="B3" s="6">
        <v>0.06</v>
      </c>
      <c r="C3" t="s">
        <v>11</v>
      </c>
      <c r="D3" t="s">
        <v>50</v>
      </c>
    </row>
    <row r="4" spans="1:4" x14ac:dyDescent="0.25">
      <c r="A4" t="s">
        <v>19</v>
      </c>
      <c r="B4">
        <v>2.6760000000000002</v>
      </c>
      <c r="C4" t="s">
        <v>15</v>
      </c>
    </row>
    <row r="5" spans="1:4" x14ac:dyDescent="0.25">
      <c r="A5" t="s">
        <v>31</v>
      </c>
      <c r="B5" s="2">
        <v>0.9</v>
      </c>
      <c r="C5" t="s">
        <v>11</v>
      </c>
    </row>
    <row r="6" spans="1:4" x14ac:dyDescent="0.25">
      <c r="A6" t="s">
        <v>33</v>
      </c>
      <c r="B6" s="2">
        <v>1.0629999999999999</v>
      </c>
      <c r="C6" t="s">
        <v>11</v>
      </c>
      <c r="D6" t="s">
        <v>34</v>
      </c>
    </row>
    <row r="7" spans="1:4" x14ac:dyDescent="0.25">
      <c r="A7" t="s">
        <v>38</v>
      </c>
      <c r="B7" s="2">
        <f>23263/22957</f>
        <v>1.0133292677614671</v>
      </c>
      <c r="C7" t="s">
        <v>11</v>
      </c>
      <c r="D7" t="s">
        <v>34</v>
      </c>
    </row>
    <row r="8" spans="1:4" x14ac:dyDescent="0.25">
      <c r="A8" t="s">
        <v>40</v>
      </c>
      <c r="B8" s="2">
        <f>11713/11361</f>
        <v>1.0309831880996392</v>
      </c>
      <c r="C8" t="s">
        <v>11</v>
      </c>
    </row>
    <row r="9" spans="1:4" x14ac:dyDescent="0.25">
      <c r="A9" t="s">
        <v>41</v>
      </c>
      <c r="B9" s="2">
        <f>501/23263</f>
        <v>2.1536345269311783E-2</v>
      </c>
      <c r="C9" t="s">
        <v>11</v>
      </c>
    </row>
    <row r="11" spans="1:4" x14ac:dyDescent="0.25">
      <c r="A11" s="1" t="s">
        <v>22</v>
      </c>
      <c r="B11" t="s">
        <v>2</v>
      </c>
      <c r="C11" t="s">
        <v>3</v>
      </c>
    </row>
    <row r="12" spans="1:4" x14ac:dyDescent="0.25">
      <c r="A12" t="s">
        <v>4</v>
      </c>
      <c r="B12" s="7">
        <v>5.0000000000000001E-3</v>
      </c>
      <c r="C12" t="s">
        <v>6</v>
      </c>
      <c r="D12" t="s">
        <v>45</v>
      </c>
    </row>
    <row r="13" spans="1:4" x14ac:dyDescent="0.25">
      <c r="A13" t="s">
        <v>16</v>
      </c>
      <c r="B13" s="7">
        <f>0.4047*33.67-0.0043*9.5</f>
        <v>13.585399000000001</v>
      </c>
      <c r="C13" t="s">
        <v>15</v>
      </c>
      <c r="D13" t="s">
        <v>44</v>
      </c>
    </row>
    <row r="14" spans="1:4" x14ac:dyDescent="0.25">
      <c r="A14" t="s">
        <v>5</v>
      </c>
      <c r="B14">
        <f>(B12*(1-B2))/(1-B3)</f>
        <v>1.276595744680851E-3</v>
      </c>
      <c r="C14" t="s">
        <v>6</v>
      </c>
    </row>
    <row r="15" spans="1:4" x14ac:dyDescent="0.25">
      <c r="A15" t="s">
        <v>7</v>
      </c>
      <c r="B15">
        <f>B12-B14</f>
        <v>3.7234042553191491E-3</v>
      </c>
      <c r="C15" t="s">
        <v>6</v>
      </c>
    </row>
    <row r="16" spans="1:4" x14ac:dyDescent="0.25">
      <c r="A16" t="s">
        <v>13</v>
      </c>
      <c r="B16" s="6">
        <v>0.46800000000000003</v>
      </c>
      <c r="C16" t="s">
        <v>11</v>
      </c>
      <c r="D16" t="s">
        <v>46</v>
      </c>
    </row>
    <row r="17" spans="1:4" x14ac:dyDescent="0.25">
      <c r="A17" t="s">
        <v>14</v>
      </c>
      <c r="B17" s="8">
        <f>32.9*0.3866+162.7*0.0196-16.2*0.571-0+1.408</f>
        <v>8.0658599999999989</v>
      </c>
      <c r="C17" t="s">
        <v>15</v>
      </c>
      <c r="D17" t="s">
        <v>43</v>
      </c>
    </row>
    <row r="18" spans="1:4" x14ac:dyDescent="0.25">
      <c r="A18" t="s">
        <v>12</v>
      </c>
      <c r="B18">
        <f>B16*B14</f>
        <v>5.9744680851063828E-4</v>
      </c>
      <c r="C18" t="s">
        <v>6</v>
      </c>
      <c r="D18" t="s">
        <v>47</v>
      </c>
    </row>
    <row r="20" spans="1:4" x14ac:dyDescent="0.25">
      <c r="A20" s="1" t="s">
        <v>23</v>
      </c>
      <c r="B20" t="s">
        <v>2</v>
      </c>
      <c r="C20" t="s">
        <v>3</v>
      </c>
    </row>
    <row r="21" spans="1:4" x14ac:dyDescent="0.25">
      <c r="A21" t="s">
        <v>24</v>
      </c>
      <c r="B21">
        <f>B13*B14*(1-B3)</f>
        <v>1.6302478799999999E-2</v>
      </c>
      <c r="C21" t="s">
        <v>9</v>
      </c>
    </row>
    <row r="22" spans="1:4" x14ac:dyDescent="0.25">
      <c r="A22" t="s">
        <v>28</v>
      </c>
      <c r="B22">
        <f>B21*B7</f>
        <v>1.651977890510084E-2</v>
      </c>
      <c r="C22" t="s">
        <v>9</v>
      </c>
    </row>
    <row r="23" spans="1:4" x14ac:dyDescent="0.25">
      <c r="A23" t="s">
        <v>10</v>
      </c>
      <c r="B23">
        <f>B17*B18*B8</f>
        <v>4.9682278914135137E-3</v>
      </c>
      <c r="C23" t="s">
        <v>9</v>
      </c>
    </row>
    <row r="24" spans="1:4" x14ac:dyDescent="0.25">
      <c r="A24" t="s">
        <v>20</v>
      </c>
      <c r="B24" t="s">
        <v>32</v>
      </c>
      <c r="C24" t="s">
        <v>9</v>
      </c>
      <c r="D24" t="s">
        <v>35</v>
      </c>
    </row>
    <row r="25" spans="1:4" x14ac:dyDescent="0.25">
      <c r="A25" t="s">
        <v>26</v>
      </c>
      <c r="B25" t="str">
        <f>B24</f>
        <v>N/A</v>
      </c>
      <c r="C25" t="s">
        <v>9</v>
      </c>
      <c r="D25" t="s">
        <v>36</v>
      </c>
    </row>
    <row r="26" spans="1:4" x14ac:dyDescent="0.25">
      <c r="A26" t="s">
        <v>18</v>
      </c>
      <c r="B26" t="s">
        <v>32</v>
      </c>
      <c r="C26" t="s">
        <v>9</v>
      </c>
      <c r="D26" t="s">
        <v>37</v>
      </c>
    </row>
    <row r="27" spans="1:4" x14ac:dyDescent="0.25">
      <c r="A27" t="s">
        <v>25</v>
      </c>
      <c r="B27">
        <f>B22*B9</f>
        <v>3.5577566227294505E-4</v>
      </c>
      <c r="C27" t="s">
        <v>9</v>
      </c>
    </row>
    <row r="28" spans="1:4" x14ac:dyDescent="0.25">
      <c r="A28" t="s">
        <v>29</v>
      </c>
      <c r="B28">
        <f>B22-B23</f>
        <v>1.1551551013687326E-2</v>
      </c>
      <c r="C28" t="s">
        <v>9</v>
      </c>
    </row>
    <row r="29" spans="1:4" x14ac:dyDescent="0.25">
      <c r="A29" t="s">
        <v>30</v>
      </c>
      <c r="B29">
        <f>B4*B15</f>
        <v>9.963829787234044E-3</v>
      </c>
      <c r="C29" t="s">
        <v>9</v>
      </c>
    </row>
    <row r="30" spans="1:4" x14ac:dyDescent="0.25">
      <c r="A30" t="s">
        <v>17</v>
      </c>
      <c r="B30">
        <f>B29*B6</f>
        <v>1.0591551063829788E-2</v>
      </c>
      <c r="C30" t="s">
        <v>9</v>
      </c>
    </row>
    <row r="31" spans="1:4" x14ac:dyDescent="0.25">
      <c r="A31" t="s">
        <v>27</v>
      </c>
      <c r="B31">
        <f>B30*(1-B5)</f>
        <v>1.0591551063829786E-3</v>
      </c>
      <c r="C31" t="s">
        <v>9</v>
      </c>
    </row>
    <row r="32" spans="1:4" x14ac:dyDescent="0.25">
      <c r="A32" t="s">
        <v>8</v>
      </c>
      <c r="B32" s="3">
        <f>B21-B22+B28-B29-B31-B27</f>
        <v>-4.4509647303483252E-5</v>
      </c>
      <c r="C32" t="s">
        <v>9</v>
      </c>
    </row>
    <row r="33" spans="1:3" x14ac:dyDescent="0.25">
      <c r="A33" t="s">
        <v>42</v>
      </c>
      <c r="B33" s="5">
        <f>B32/B21</f>
        <v>-2.7302380116257692E-3</v>
      </c>
      <c r="C33" t="s">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B127-9590-4A95-A3F9-25A895B6871A}">
  <dimension ref="A1:D33"/>
  <sheetViews>
    <sheetView workbookViewId="0">
      <selection activeCell="B17" sqref="B17"/>
    </sheetView>
  </sheetViews>
  <sheetFormatPr defaultRowHeight="15" x14ac:dyDescent="0.25"/>
  <cols>
    <col min="1" max="1" width="47.7109375" bestFit="1" customWidth="1"/>
    <col min="2" max="2" width="7.7109375" bestFit="1" customWidth="1"/>
  </cols>
  <sheetData>
    <row r="1" spans="1:4" x14ac:dyDescent="0.25">
      <c r="A1" s="1" t="s">
        <v>21</v>
      </c>
      <c r="B1" t="s">
        <v>2</v>
      </c>
      <c r="C1" t="s">
        <v>3</v>
      </c>
    </row>
    <row r="2" spans="1:4" x14ac:dyDescent="0.25">
      <c r="A2" t="s">
        <v>0</v>
      </c>
      <c r="B2" s="6">
        <v>0.77</v>
      </c>
      <c r="C2" t="s">
        <v>11</v>
      </c>
      <c r="D2" t="s">
        <v>39</v>
      </c>
    </row>
    <row r="3" spans="1:4" x14ac:dyDescent="0.25">
      <c r="A3" t="s">
        <v>1</v>
      </c>
      <c r="B3" s="6">
        <v>0.06</v>
      </c>
      <c r="C3" t="s">
        <v>11</v>
      </c>
      <c r="D3" t="s">
        <v>48</v>
      </c>
    </row>
    <row r="4" spans="1:4" x14ac:dyDescent="0.25">
      <c r="A4" t="s">
        <v>19</v>
      </c>
      <c r="B4">
        <v>2.6760000000000002</v>
      </c>
      <c r="C4" t="s">
        <v>15</v>
      </c>
    </row>
    <row r="5" spans="1:4" x14ac:dyDescent="0.25">
      <c r="A5" t="s">
        <v>31</v>
      </c>
      <c r="B5" s="2">
        <v>0.9</v>
      </c>
      <c r="C5" t="s">
        <v>11</v>
      </c>
    </row>
    <row r="6" spans="1:4" x14ac:dyDescent="0.25">
      <c r="A6" t="s">
        <v>33</v>
      </c>
      <c r="B6" s="2">
        <v>1.0629999999999999</v>
      </c>
      <c r="C6" t="s">
        <v>11</v>
      </c>
      <c r="D6" t="s">
        <v>34</v>
      </c>
    </row>
    <row r="7" spans="1:4" x14ac:dyDescent="0.25">
      <c r="A7" t="s">
        <v>38</v>
      </c>
      <c r="B7" s="2">
        <f>23263/22957</f>
        <v>1.0133292677614671</v>
      </c>
      <c r="C7" t="s">
        <v>11</v>
      </c>
      <c r="D7" t="s">
        <v>34</v>
      </c>
    </row>
    <row r="8" spans="1:4" x14ac:dyDescent="0.25">
      <c r="A8" t="s">
        <v>40</v>
      </c>
      <c r="B8" s="2">
        <f>11713/11361</f>
        <v>1.0309831880996392</v>
      </c>
      <c r="C8" t="s">
        <v>11</v>
      </c>
    </row>
    <row r="9" spans="1:4" x14ac:dyDescent="0.25">
      <c r="A9" t="s">
        <v>41</v>
      </c>
      <c r="B9" s="2">
        <f>501/23263</f>
        <v>2.1536345269311783E-2</v>
      </c>
      <c r="C9" t="s">
        <v>11</v>
      </c>
    </row>
    <row r="11" spans="1:4" x14ac:dyDescent="0.25">
      <c r="A11" s="1" t="s">
        <v>22</v>
      </c>
      <c r="B11" t="s">
        <v>2</v>
      </c>
      <c r="C11" t="s">
        <v>3</v>
      </c>
    </row>
    <row r="12" spans="1:4" x14ac:dyDescent="0.25">
      <c r="A12" t="s">
        <v>4</v>
      </c>
      <c r="B12" s="7">
        <v>0.05</v>
      </c>
      <c r="C12" t="s">
        <v>6</v>
      </c>
    </row>
    <row r="13" spans="1:4" x14ac:dyDescent="0.25">
      <c r="A13" t="s">
        <v>16</v>
      </c>
      <c r="B13" s="7">
        <f>0.4047*38.29-0.0043*22.34</f>
        <v>15.399901</v>
      </c>
      <c r="C13" t="s">
        <v>15</v>
      </c>
    </row>
    <row r="14" spans="1:4" x14ac:dyDescent="0.25">
      <c r="A14" t="s">
        <v>5</v>
      </c>
      <c r="B14">
        <f>(B12*(1-B2))/(1-B3)</f>
        <v>1.223404255319149E-2</v>
      </c>
      <c r="C14" t="s">
        <v>6</v>
      </c>
    </row>
    <row r="15" spans="1:4" x14ac:dyDescent="0.25">
      <c r="A15" t="s">
        <v>7</v>
      </c>
      <c r="B15">
        <f>B12-B14</f>
        <v>3.776595744680851E-2</v>
      </c>
      <c r="C15" t="s">
        <v>6</v>
      </c>
    </row>
    <row r="16" spans="1:4" x14ac:dyDescent="0.25">
      <c r="A16" t="s">
        <v>13</v>
      </c>
      <c r="B16" s="6">
        <v>0.48659999999999998</v>
      </c>
      <c r="C16" t="s">
        <v>11</v>
      </c>
    </row>
    <row r="17" spans="1:4" x14ac:dyDescent="0.25">
      <c r="A17" t="s">
        <v>14</v>
      </c>
      <c r="B17" s="8">
        <f>32.9*0.4204+162.7*0.0188-16.2*0.541-0+1.408</f>
        <v>9.5337199999999989</v>
      </c>
      <c r="C17" t="s">
        <v>15</v>
      </c>
      <c r="D17" t="s">
        <v>43</v>
      </c>
    </row>
    <row r="18" spans="1:4" x14ac:dyDescent="0.25">
      <c r="A18" t="s">
        <v>12</v>
      </c>
      <c r="B18">
        <f>B16*B14</f>
        <v>5.9530851063829783E-3</v>
      </c>
      <c r="C18" t="s">
        <v>6</v>
      </c>
    </row>
    <row r="20" spans="1:4" x14ac:dyDescent="0.25">
      <c r="A20" s="1" t="s">
        <v>23</v>
      </c>
      <c r="B20" t="s">
        <v>2</v>
      </c>
      <c r="C20" t="s">
        <v>3</v>
      </c>
    </row>
    <row r="21" spans="1:4" x14ac:dyDescent="0.25">
      <c r="A21" t="s">
        <v>24</v>
      </c>
      <c r="B21">
        <f>B13*B14*(1-B3)</f>
        <v>0.17709886149999998</v>
      </c>
      <c r="C21" t="s">
        <v>9</v>
      </c>
    </row>
    <row r="22" spans="1:4" x14ac:dyDescent="0.25">
      <c r="A22" t="s">
        <v>28</v>
      </c>
      <c r="B22">
        <f>B21*B7</f>
        <v>0.17945945964518448</v>
      </c>
      <c r="C22" t="s">
        <v>9</v>
      </c>
    </row>
    <row r="23" spans="1:4" x14ac:dyDescent="0.25">
      <c r="A23" t="s">
        <v>10</v>
      </c>
      <c r="B23">
        <f>B17*B18*B8</f>
        <v>5.8513498822991297E-2</v>
      </c>
      <c r="C23" t="s">
        <v>9</v>
      </c>
    </row>
    <row r="24" spans="1:4" x14ac:dyDescent="0.25">
      <c r="A24" t="s">
        <v>20</v>
      </c>
      <c r="B24" t="s">
        <v>32</v>
      </c>
      <c r="C24" t="s">
        <v>9</v>
      </c>
      <c r="D24" t="s">
        <v>35</v>
      </c>
    </row>
    <row r="25" spans="1:4" x14ac:dyDescent="0.25">
      <c r="A25" t="s">
        <v>26</v>
      </c>
      <c r="B25" t="str">
        <f>B24</f>
        <v>N/A</v>
      </c>
      <c r="C25" t="s">
        <v>9</v>
      </c>
      <c r="D25" t="s">
        <v>36</v>
      </c>
    </row>
    <row r="26" spans="1:4" x14ac:dyDescent="0.25">
      <c r="A26" t="s">
        <v>18</v>
      </c>
      <c r="B26" t="s">
        <v>32</v>
      </c>
      <c r="C26" t="s">
        <v>9</v>
      </c>
      <c r="D26" t="s">
        <v>37</v>
      </c>
    </row>
    <row r="27" spans="1:4" x14ac:dyDescent="0.25">
      <c r="A27" t="s">
        <v>25</v>
      </c>
      <c r="B27">
        <f>B22*B9</f>
        <v>3.8649008847628174E-3</v>
      </c>
      <c r="C27" t="s">
        <v>9</v>
      </c>
    </row>
    <row r="28" spans="1:4" x14ac:dyDescent="0.25">
      <c r="A28" t="s">
        <v>29</v>
      </c>
      <c r="B28">
        <f>B22-B23</f>
        <v>0.12094596082219318</v>
      </c>
      <c r="C28" t="s">
        <v>9</v>
      </c>
    </row>
    <row r="29" spans="1:4" x14ac:dyDescent="0.25">
      <c r="A29" t="s">
        <v>30</v>
      </c>
      <c r="B29">
        <f>B4*B15</f>
        <v>0.10106170212765958</v>
      </c>
      <c r="C29" t="s">
        <v>9</v>
      </c>
    </row>
    <row r="30" spans="1:4" x14ac:dyDescent="0.25">
      <c r="A30" t="s">
        <v>17</v>
      </c>
      <c r="B30">
        <f>B29*B6</f>
        <v>0.10742858936170213</v>
      </c>
      <c r="C30" t="s">
        <v>9</v>
      </c>
    </row>
    <row r="31" spans="1:4" x14ac:dyDescent="0.25">
      <c r="A31" t="s">
        <v>27</v>
      </c>
      <c r="B31">
        <f>B30*(1-B5)</f>
        <v>1.074285893617021E-2</v>
      </c>
      <c r="C31" t="s">
        <v>9</v>
      </c>
    </row>
    <row r="32" spans="1:4" x14ac:dyDescent="0.25">
      <c r="A32" t="s">
        <v>8</v>
      </c>
      <c r="B32" s="3">
        <f>B21-B22+B28-B29-B31-B27</f>
        <v>2.9159007284160769E-3</v>
      </c>
      <c r="C32" t="s">
        <v>9</v>
      </c>
    </row>
    <row r="33" spans="1:3" x14ac:dyDescent="0.25">
      <c r="A33" t="s">
        <v>42</v>
      </c>
      <c r="B33" s="5">
        <f>B32/B21</f>
        <v>1.6464819162127008E-2</v>
      </c>
      <c r="C33" t="s">
        <v>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53CA5-F7E9-4728-8F81-74C04740149E}">
  <dimension ref="A1:D33"/>
  <sheetViews>
    <sheetView workbookViewId="0">
      <selection activeCell="B13" sqref="B13"/>
    </sheetView>
  </sheetViews>
  <sheetFormatPr defaultRowHeight="15" x14ac:dyDescent="0.25"/>
  <cols>
    <col min="1" max="1" width="47.7109375" bestFit="1" customWidth="1"/>
    <col min="2" max="2" width="7.7109375" bestFit="1" customWidth="1"/>
  </cols>
  <sheetData>
    <row r="1" spans="1:4" x14ac:dyDescent="0.25">
      <c r="A1" s="1" t="s">
        <v>21</v>
      </c>
      <c r="B1" t="s">
        <v>2</v>
      </c>
      <c r="C1" t="s">
        <v>3</v>
      </c>
    </row>
    <row r="2" spans="1:4" x14ac:dyDescent="0.25">
      <c r="A2" t="s">
        <v>0</v>
      </c>
      <c r="B2" s="4">
        <v>0.73</v>
      </c>
      <c r="C2" t="s">
        <v>11</v>
      </c>
      <c r="D2" t="s">
        <v>39</v>
      </c>
    </row>
    <row r="3" spans="1:4" x14ac:dyDescent="0.25">
      <c r="A3" t="s">
        <v>1</v>
      </c>
      <c r="B3" s="6">
        <v>0.15</v>
      </c>
      <c r="C3" t="s">
        <v>11</v>
      </c>
      <c r="D3" t="s">
        <v>49</v>
      </c>
    </row>
    <row r="4" spans="1:4" x14ac:dyDescent="0.25">
      <c r="A4" t="s">
        <v>19</v>
      </c>
      <c r="B4">
        <v>2.6760000000000002</v>
      </c>
      <c r="C4" t="s">
        <v>15</v>
      </c>
    </row>
    <row r="5" spans="1:4" x14ac:dyDescent="0.25">
      <c r="A5" t="s">
        <v>31</v>
      </c>
      <c r="B5" s="2">
        <v>0.9</v>
      </c>
      <c r="C5" t="s">
        <v>11</v>
      </c>
    </row>
    <row r="6" spans="1:4" x14ac:dyDescent="0.25">
      <c r="A6" t="s">
        <v>33</v>
      </c>
      <c r="B6" s="2">
        <v>1.0629999999999999</v>
      </c>
      <c r="C6" t="s">
        <v>11</v>
      </c>
      <c r="D6" t="s">
        <v>34</v>
      </c>
    </row>
    <row r="7" spans="1:4" x14ac:dyDescent="0.25">
      <c r="A7" t="s">
        <v>38</v>
      </c>
      <c r="B7" s="2">
        <f>23263/22957</f>
        <v>1.0133292677614671</v>
      </c>
      <c r="C7" t="s">
        <v>11</v>
      </c>
      <c r="D7" t="s">
        <v>34</v>
      </c>
    </row>
    <row r="8" spans="1:4" x14ac:dyDescent="0.25">
      <c r="A8" t="s">
        <v>40</v>
      </c>
      <c r="B8" s="2">
        <f>11713/11361</f>
        <v>1.0309831880996392</v>
      </c>
      <c r="C8" t="s">
        <v>11</v>
      </c>
    </row>
    <row r="9" spans="1:4" x14ac:dyDescent="0.25">
      <c r="A9" t="s">
        <v>41</v>
      </c>
      <c r="B9" s="2">
        <f>501/23263</f>
        <v>2.1536345269311783E-2</v>
      </c>
      <c r="C9" t="s">
        <v>11</v>
      </c>
    </row>
    <row r="11" spans="1:4" x14ac:dyDescent="0.25">
      <c r="A11" s="1" t="s">
        <v>22</v>
      </c>
      <c r="B11" t="s">
        <v>2</v>
      </c>
      <c r="C11" t="s">
        <v>3</v>
      </c>
    </row>
    <row r="12" spans="1:4" x14ac:dyDescent="0.25">
      <c r="A12" t="s">
        <v>4</v>
      </c>
      <c r="B12" s="7">
        <v>1</v>
      </c>
      <c r="C12" t="s">
        <v>6</v>
      </c>
    </row>
    <row r="13" spans="1:4" x14ac:dyDescent="0.25">
      <c r="A13" t="s">
        <v>16</v>
      </c>
      <c r="B13" s="7">
        <v>15.2</v>
      </c>
      <c r="C13" t="s">
        <v>15</v>
      </c>
    </row>
    <row r="14" spans="1:4" x14ac:dyDescent="0.25">
      <c r="A14" t="s">
        <v>5</v>
      </c>
      <c r="B14">
        <f>(B12*(1-B2))/(1-B3)</f>
        <v>0.31764705882352945</v>
      </c>
      <c r="C14" t="s">
        <v>6</v>
      </c>
    </row>
    <row r="15" spans="1:4" x14ac:dyDescent="0.25">
      <c r="A15" t="s">
        <v>7</v>
      </c>
      <c r="B15">
        <f>B12-B14</f>
        <v>0.68235294117647061</v>
      </c>
      <c r="C15" t="s">
        <v>6</v>
      </c>
    </row>
    <row r="16" spans="1:4" x14ac:dyDescent="0.25">
      <c r="A16" t="s">
        <v>13</v>
      </c>
      <c r="B16" s="6">
        <v>0.46739999999999998</v>
      </c>
      <c r="C16" t="s">
        <v>11</v>
      </c>
    </row>
    <row r="17" spans="1:4" x14ac:dyDescent="0.25">
      <c r="A17" t="s">
        <v>14</v>
      </c>
      <c r="B17" s="8">
        <v>12.6</v>
      </c>
      <c r="C17" t="s">
        <v>15</v>
      </c>
      <c r="D17" t="s">
        <v>43</v>
      </c>
    </row>
    <row r="18" spans="1:4" x14ac:dyDescent="0.25">
      <c r="A18" t="s">
        <v>12</v>
      </c>
      <c r="B18">
        <f>B16*B14</f>
        <v>0.14846823529411765</v>
      </c>
      <c r="C18" t="s">
        <v>6</v>
      </c>
    </row>
    <row r="20" spans="1:4" x14ac:dyDescent="0.25">
      <c r="A20" s="1" t="s">
        <v>23</v>
      </c>
      <c r="B20" t="s">
        <v>2</v>
      </c>
      <c r="C20" t="s">
        <v>3</v>
      </c>
    </row>
    <row r="21" spans="1:4" x14ac:dyDescent="0.25">
      <c r="A21" t="s">
        <v>24</v>
      </c>
      <c r="B21">
        <f>B13*B14*(1-B3)</f>
        <v>4.1040000000000001</v>
      </c>
      <c r="C21" t="s">
        <v>9</v>
      </c>
    </row>
    <row r="22" spans="1:4" x14ac:dyDescent="0.25">
      <c r="A22" t="s">
        <v>28</v>
      </c>
      <c r="B22">
        <f>B21*B7</f>
        <v>4.158703314893061</v>
      </c>
      <c r="C22" t="s">
        <v>9</v>
      </c>
    </row>
    <row r="23" spans="1:4" x14ac:dyDescent="0.25">
      <c r="A23" t="s">
        <v>10</v>
      </c>
      <c r="B23">
        <f>B17*B18*B8</f>
        <v>1.9286600073937155</v>
      </c>
      <c r="C23" t="s">
        <v>9</v>
      </c>
    </row>
    <row r="24" spans="1:4" x14ac:dyDescent="0.25">
      <c r="A24" t="s">
        <v>20</v>
      </c>
      <c r="B24" t="s">
        <v>32</v>
      </c>
      <c r="C24" t="s">
        <v>9</v>
      </c>
      <c r="D24" t="s">
        <v>35</v>
      </c>
    </row>
    <row r="25" spans="1:4" x14ac:dyDescent="0.25">
      <c r="A25" t="s">
        <v>26</v>
      </c>
      <c r="B25" t="str">
        <f>B24</f>
        <v>N/A</v>
      </c>
      <c r="C25" t="s">
        <v>9</v>
      </c>
      <c r="D25" t="s">
        <v>36</v>
      </c>
    </row>
    <row r="26" spans="1:4" x14ac:dyDescent="0.25">
      <c r="A26" t="s">
        <v>18</v>
      </c>
      <c r="B26" t="s">
        <v>32</v>
      </c>
      <c r="C26" t="s">
        <v>9</v>
      </c>
      <c r="D26" t="s">
        <v>37</v>
      </c>
    </row>
    <row r="27" spans="1:4" x14ac:dyDescent="0.25">
      <c r="A27" t="s">
        <v>25</v>
      </c>
      <c r="B27">
        <f>B22*B9</f>
        <v>8.9563270462168401E-2</v>
      </c>
      <c r="C27" t="s">
        <v>9</v>
      </c>
    </row>
    <row r="28" spans="1:4" x14ac:dyDescent="0.25">
      <c r="A28" t="s">
        <v>29</v>
      </c>
      <c r="B28">
        <f>B22-B23</f>
        <v>2.2300433074993453</v>
      </c>
      <c r="C28" t="s">
        <v>9</v>
      </c>
    </row>
    <row r="29" spans="1:4" x14ac:dyDescent="0.25">
      <c r="A29" t="s">
        <v>30</v>
      </c>
      <c r="B29">
        <f>B4*B15</f>
        <v>1.8259764705882355</v>
      </c>
      <c r="C29" t="s">
        <v>9</v>
      </c>
    </row>
    <row r="30" spans="1:4" x14ac:dyDescent="0.25">
      <c r="A30" t="s">
        <v>17</v>
      </c>
      <c r="B30">
        <f>B29*B6</f>
        <v>1.9410129882352942</v>
      </c>
      <c r="C30" t="s">
        <v>9</v>
      </c>
    </row>
    <row r="31" spans="1:4" x14ac:dyDescent="0.25">
      <c r="A31" t="s">
        <v>27</v>
      </c>
      <c r="B31">
        <f>B30*(1-B5)</f>
        <v>0.19410129882352939</v>
      </c>
      <c r="C31" t="s">
        <v>9</v>
      </c>
    </row>
    <row r="32" spans="1:4" x14ac:dyDescent="0.25">
      <c r="A32" t="s">
        <v>8</v>
      </c>
      <c r="B32" s="3">
        <f>B21-B22+B28-B29-B31-B27</f>
        <v>6.5698952732351087E-2</v>
      </c>
      <c r="C32" t="s">
        <v>9</v>
      </c>
    </row>
    <row r="33" spans="1:3" x14ac:dyDescent="0.25">
      <c r="A33" t="s">
        <v>42</v>
      </c>
      <c r="B33" s="5">
        <f>B32/B21</f>
        <v>1.6008516747648902E-2</v>
      </c>
      <c r="C33"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1749D-1839-4F52-84BB-D7B762A2D609}">
  <dimension ref="A1:D33"/>
  <sheetViews>
    <sheetView workbookViewId="0">
      <selection activeCell="B1" sqref="B1:B33"/>
    </sheetView>
  </sheetViews>
  <sheetFormatPr defaultRowHeight="15" x14ac:dyDescent="0.25"/>
  <cols>
    <col min="1" max="1" width="47.7109375" bestFit="1" customWidth="1"/>
    <col min="2" max="2" width="7.7109375" bestFit="1" customWidth="1"/>
  </cols>
  <sheetData>
    <row r="1" spans="1:4" x14ac:dyDescent="0.25">
      <c r="A1" s="1" t="s">
        <v>21</v>
      </c>
      <c r="B1" t="s">
        <v>2</v>
      </c>
      <c r="C1" t="s">
        <v>3</v>
      </c>
    </row>
    <row r="2" spans="1:4" x14ac:dyDescent="0.25">
      <c r="A2" t="s">
        <v>0</v>
      </c>
      <c r="B2" s="4">
        <v>0.72</v>
      </c>
      <c r="C2" t="s">
        <v>11</v>
      </c>
      <c r="D2" t="s">
        <v>39</v>
      </c>
    </row>
    <row r="3" spans="1:4" x14ac:dyDescent="0.25">
      <c r="A3" t="s">
        <v>1</v>
      </c>
      <c r="B3" s="6">
        <v>0.13</v>
      </c>
      <c r="C3" t="s">
        <v>11</v>
      </c>
      <c r="D3" t="s">
        <v>52</v>
      </c>
    </row>
    <row r="4" spans="1:4" x14ac:dyDescent="0.25">
      <c r="A4" t="s">
        <v>19</v>
      </c>
      <c r="B4">
        <v>2.6760000000000002</v>
      </c>
      <c r="C4" t="s">
        <v>15</v>
      </c>
    </row>
    <row r="5" spans="1:4" x14ac:dyDescent="0.25">
      <c r="A5" t="s">
        <v>31</v>
      </c>
      <c r="B5" s="2">
        <v>0.9</v>
      </c>
      <c r="C5" t="s">
        <v>11</v>
      </c>
    </row>
    <row r="6" spans="1:4" x14ac:dyDescent="0.25">
      <c r="A6" t="s">
        <v>33</v>
      </c>
      <c r="B6" s="2">
        <v>1.0629999999999999</v>
      </c>
      <c r="C6" t="s">
        <v>11</v>
      </c>
      <c r="D6" t="s">
        <v>34</v>
      </c>
    </row>
    <row r="7" spans="1:4" x14ac:dyDescent="0.25">
      <c r="A7" t="s">
        <v>38</v>
      </c>
      <c r="B7" s="2">
        <f>23263/22957</f>
        <v>1.0133292677614671</v>
      </c>
      <c r="C7" t="s">
        <v>11</v>
      </c>
      <c r="D7" t="s">
        <v>34</v>
      </c>
    </row>
    <row r="8" spans="1:4" x14ac:dyDescent="0.25">
      <c r="A8" t="s">
        <v>40</v>
      </c>
      <c r="B8" s="2">
        <f>11713/11361</f>
        <v>1.0309831880996392</v>
      </c>
      <c r="C8" t="s">
        <v>11</v>
      </c>
    </row>
    <row r="9" spans="1:4" x14ac:dyDescent="0.25">
      <c r="A9" t="s">
        <v>41</v>
      </c>
      <c r="B9" s="2">
        <f>501/23263</f>
        <v>2.1536345269311783E-2</v>
      </c>
      <c r="C9" t="s">
        <v>11</v>
      </c>
    </row>
    <row r="11" spans="1:4" x14ac:dyDescent="0.25">
      <c r="A11" s="1" t="s">
        <v>22</v>
      </c>
      <c r="B11" t="s">
        <v>2</v>
      </c>
      <c r="C11" t="s">
        <v>3</v>
      </c>
    </row>
    <row r="12" spans="1:4" x14ac:dyDescent="0.25">
      <c r="A12" t="s">
        <v>4</v>
      </c>
      <c r="B12" s="7">
        <v>0.01</v>
      </c>
      <c r="C12" t="s">
        <v>6</v>
      </c>
    </row>
    <row r="13" spans="1:4" x14ac:dyDescent="0.25">
      <c r="A13" t="s">
        <v>16</v>
      </c>
      <c r="B13" s="7">
        <v>15.26</v>
      </c>
      <c r="C13" t="s">
        <v>15</v>
      </c>
    </row>
    <row r="14" spans="1:4" x14ac:dyDescent="0.25">
      <c r="A14" t="s">
        <v>5</v>
      </c>
      <c r="B14">
        <f>(B12*(1-B2))/(1-B3)</f>
        <v>3.2183908045977016E-3</v>
      </c>
      <c r="C14" t="s">
        <v>6</v>
      </c>
    </row>
    <row r="15" spans="1:4" x14ac:dyDescent="0.25">
      <c r="A15" t="s">
        <v>7</v>
      </c>
      <c r="B15">
        <f>B12-B14</f>
        <v>6.7816091954022986E-3</v>
      </c>
      <c r="C15" t="s">
        <v>6</v>
      </c>
    </row>
    <row r="16" spans="1:4" x14ac:dyDescent="0.25">
      <c r="A16" t="s">
        <v>13</v>
      </c>
      <c r="B16" s="6">
        <v>0.43009999999999998</v>
      </c>
      <c r="C16" t="s">
        <v>11</v>
      </c>
    </row>
    <row r="17" spans="1:4" x14ac:dyDescent="0.25">
      <c r="A17" t="s">
        <v>14</v>
      </c>
      <c r="B17" s="8">
        <v>15.3</v>
      </c>
      <c r="C17" t="s">
        <v>15</v>
      </c>
      <c r="D17" t="s">
        <v>43</v>
      </c>
    </row>
    <row r="18" spans="1:4" x14ac:dyDescent="0.25">
      <c r="A18" t="s">
        <v>12</v>
      </c>
      <c r="B18">
        <f>B16*B14</f>
        <v>1.3842298850574714E-3</v>
      </c>
      <c r="C18" t="s">
        <v>6</v>
      </c>
    </row>
    <row r="20" spans="1:4" x14ac:dyDescent="0.25">
      <c r="A20" s="1" t="s">
        <v>23</v>
      </c>
      <c r="B20" t="s">
        <v>2</v>
      </c>
      <c r="C20" t="s">
        <v>3</v>
      </c>
    </row>
    <row r="21" spans="1:4" x14ac:dyDescent="0.25">
      <c r="A21" t="s">
        <v>24</v>
      </c>
      <c r="B21">
        <f>B13*B14*(1-B3)</f>
        <v>4.2728000000000009E-2</v>
      </c>
      <c r="C21" t="s">
        <v>9</v>
      </c>
    </row>
    <row r="22" spans="1:4" x14ac:dyDescent="0.25">
      <c r="A22" t="s">
        <v>28</v>
      </c>
      <c r="B22">
        <f>B21*B7</f>
        <v>4.3297532952911978E-2</v>
      </c>
      <c r="C22" t="s">
        <v>9</v>
      </c>
    </row>
    <row r="23" spans="1:4" x14ac:dyDescent="0.25">
      <c r="A23" t="s">
        <v>10</v>
      </c>
      <c r="B23">
        <f>B17*B18*B8</f>
        <v>2.183490142137804E-2</v>
      </c>
      <c r="C23" t="s">
        <v>9</v>
      </c>
    </row>
    <row r="24" spans="1:4" x14ac:dyDescent="0.25">
      <c r="A24" t="s">
        <v>20</v>
      </c>
      <c r="B24" t="s">
        <v>32</v>
      </c>
      <c r="C24" t="s">
        <v>9</v>
      </c>
      <c r="D24" t="s">
        <v>35</v>
      </c>
    </row>
    <row r="25" spans="1:4" x14ac:dyDescent="0.25">
      <c r="A25" t="s">
        <v>26</v>
      </c>
      <c r="B25" t="str">
        <f>B24</f>
        <v>N/A</v>
      </c>
      <c r="C25" t="s">
        <v>9</v>
      </c>
      <c r="D25" t="s">
        <v>36</v>
      </c>
    </row>
    <row r="26" spans="1:4" x14ac:dyDescent="0.25">
      <c r="A26" t="s">
        <v>18</v>
      </c>
      <c r="B26" t="s">
        <v>32</v>
      </c>
      <c r="C26" t="s">
        <v>9</v>
      </c>
      <c r="D26" t="s">
        <v>37</v>
      </c>
    </row>
    <row r="27" spans="1:4" x14ac:dyDescent="0.25">
      <c r="A27" t="s">
        <v>25</v>
      </c>
      <c r="B27">
        <f>B22*B9</f>
        <v>9.3247061898331688E-4</v>
      </c>
      <c r="C27" t="s">
        <v>9</v>
      </c>
    </row>
    <row r="28" spans="1:4" x14ac:dyDescent="0.25">
      <c r="A28" t="s">
        <v>29</v>
      </c>
      <c r="B28">
        <f>B22-B23</f>
        <v>2.1462631531533938E-2</v>
      </c>
      <c r="C28" t="s">
        <v>9</v>
      </c>
    </row>
    <row r="29" spans="1:4" x14ac:dyDescent="0.25">
      <c r="A29" t="s">
        <v>30</v>
      </c>
      <c r="B29">
        <f>B4*B15</f>
        <v>1.8147586206896552E-2</v>
      </c>
      <c r="C29" t="s">
        <v>9</v>
      </c>
    </row>
    <row r="30" spans="1:4" x14ac:dyDescent="0.25">
      <c r="A30" t="s">
        <v>17</v>
      </c>
      <c r="B30">
        <f>B29*B6</f>
        <v>1.9290884137931032E-2</v>
      </c>
      <c r="C30" t="s">
        <v>9</v>
      </c>
    </row>
    <row r="31" spans="1:4" x14ac:dyDescent="0.25">
      <c r="A31" t="s">
        <v>27</v>
      </c>
      <c r="B31">
        <f>B30*(1-B5)</f>
        <v>1.9290884137931029E-3</v>
      </c>
      <c r="C31" t="s">
        <v>9</v>
      </c>
    </row>
    <row r="32" spans="1:4" x14ac:dyDescent="0.25">
      <c r="A32" t="s">
        <v>8</v>
      </c>
      <c r="B32" s="3">
        <f>B21-B22+B28-B29-B31-B27</f>
        <v>-1.160466610510034E-4</v>
      </c>
      <c r="C32" t="s">
        <v>9</v>
      </c>
    </row>
    <row r="33" spans="1:3" x14ac:dyDescent="0.25">
      <c r="A33" t="s">
        <v>42</v>
      </c>
      <c r="B33" s="5">
        <f>B32/B21</f>
        <v>-2.7159394554157313E-3</v>
      </c>
      <c r="C33" t="s">
        <v>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2D4DE-564C-4B73-9118-5C77B92E8AFB}">
  <dimension ref="A1:D33"/>
  <sheetViews>
    <sheetView tabSelected="1" workbookViewId="0">
      <selection activeCell="E21" sqref="E21"/>
    </sheetView>
  </sheetViews>
  <sheetFormatPr defaultRowHeight="15" x14ac:dyDescent="0.25"/>
  <cols>
    <col min="1" max="1" width="47.7109375" bestFit="1" customWidth="1"/>
    <col min="2" max="2" width="7.7109375" bestFit="1" customWidth="1"/>
  </cols>
  <sheetData>
    <row r="1" spans="1:4" x14ac:dyDescent="0.25">
      <c r="A1" s="1" t="s">
        <v>21</v>
      </c>
      <c r="B1" t="s">
        <v>2</v>
      </c>
      <c r="C1" t="s">
        <v>3</v>
      </c>
    </row>
    <row r="2" spans="1:4" x14ac:dyDescent="0.25">
      <c r="A2" t="s">
        <v>0</v>
      </c>
      <c r="B2" s="4">
        <v>0.68</v>
      </c>
      <c r="C2" t="s">
        <v>11</v>
      </c>
      <c r="D2" t="s">
        <v>39</v>
      </c>
    </row>
    <row r="3" spans="1:4" x14ac:dyDescent="0.25">
      <c r="A3" t="s">
        <v>1</v>
      </c>
      <c r="B3" s="6">
        <v>0.13</v>
      </c>
      <c r="C3" t="s">
        <v>11</v>
      </c>
      <c r="D3" t="s">
        <v>51</v>
      </c>
    </row>
    <row r="4" spans="1:4" x14ac:dyDescent="0.25">
      <c r="A4" t="s">
        <v>19</v>
      </c>
      <c r="B4">
        <v>2.6760000000000002</v>
      </c>
      <c r="C4" t="s">
        <v>15</v>
      </c>
    </row>
    <row r="5" spans="1:4" x14ac:dyDescent="0.25">
      <c r="A5" t="s">
        <v>31</v>
      </c>
      <c r="B5" s="2">
        <v>0.9</v>
      </c>
      <c r="C5" t="s">
        <v>11</v>
      </c>
    </row>
    <row r="6" spans="1:4" x14ac:dyDescent="0.25">
      <c r="A6" t="s">
        <v>33</v>
      </c>
      <c r="B6" s="2">
        <v>1.0629999999999999</v>
      </c>
      <c r="C6" t="s">
        <v>11</v>
      </c>
      <c r="D6" t="s">
        <v>34</v>
      </c>
    </row>
    <row r="7" spans="1:4" x14ac:dyDescent="0.25">
      <c r="A7" t="s">
        <v>38</v>
      </c>
      <c r="B7" s="2">
        <f>23263/22957</f>
        <v>1.0133292677614671</v>
      </c>
      <c r="C7" t="s">
        <v>11</v>
      </c>
      <c r="D7" t="s">
        <v>34</v>
      </c>
    </row>
    <row r="8" spans="1:4" x14ac:dyDescent="0.25">
      <c r="A8" t="s">
        <v>40</v>
      </c>
      <c r="B8" s="2">
        <f>11713/11361</f>
        <v>1.0309831880996392</v>
      </c>
      <c r="C8" t="s">
        <v>11</v>
      </c>
    </row>
    <row r="9" spans="1:4" x14ac:dyDescent="0.25">
      <c r="A9" t="s">
        <v>41</v>
      </c>
      <c r="B9" s="2">
        <f>501/23263</f>
        <v>2.1536345269311783E-2</v>
      </c>
      <c r="C9" t="s">
        <v>11</v>
      </c>
    </row>
    <row r="11" spans="1:4" x14ac:dyDescent="0.25">
      <c r="A11" s="1" t="s">
        <v>22</v>
      </c>
      <c r="B11" t="s">
        <v>2</v>
      </c>
      <c r="C11" t="s">
        <v>3</v>
      </c>
    </row>
    <row r="12" spans="1:4" x14ac:dyDescent="0.25">
      <c r="A12" t="s">
        <v>4</v>
      </c>
      <c r="B12" s="7">
        <v>0.01</v>
      </c>
      <c r="C12" t="s">
        <v>6</v>
      </c>
    </row>
    <row r="13" spans="1:4" x14ac:dyDescent="0.25">
      <c r="A13" t="s">
        <v>16</v>
      </c>
      <c r="B13" s="7">
        <v>13.72</v>
      </c>
      <c r="C13" t="s">
        <v>15</v>
      </c>
    </row>
    <row r="14" spans="1:4" x14ac:dyDescent="0.25">
      <c r="A14" t="s">
        <v>5</v>
      </c>
      <c r="B14">
        <f>(B12*(1-B2))/(1-B3)</f>
        <v>3.6781609195402297E-3</v>
      </c>
      <c r="C14" t="s">
        <v>6</v>
      </c>
    </row>
    <row r="15" spans="1:4" x14ac:dyDescent="0.25">
      <c r="A15" t="s">
        <v>7</v>
      </c>
      <c r="B15">
        <f>B12-B14</f>
        <v>6.32183908045977E-3</v>
      </c>
      <c r="C15" t="s">
        <v>6</v>
      </c>
    </row>
    <row r="16" spans="1:4" x14ac:dyDescent="0.25">
      <c r="A16" t="s">
        <v>13</v>
      </c>
      <c r="B16" s="9">
        <v>0.46500000000000002</v>
      </c>
      <c r="C16" t="s">
        <v>11</v>
      </c>
    </row>
    <row r="17" spans="1:4" x14ac:dyDescent="0.25">
      <c r="A17" t="s">
        <v>14</v>
      </c>
      <c r="B17" s="8">
        <v>13.75</v>
      </c>
      <c r="C17" t="s">
        <v>15</v>
      </c>
      <c r="D17" t="s">
        <v>43</v>
      </c>
    </row>
    <row r="18" spans="1:4" x14ac:dyDescent="0.25">
      <c r="A18" t="s">
        <v>12</v>
      </c>
      <c r="B18">
        <f>B16*B14</f>
        <v>1.710344827586207E-3</v>
      </c>
      <c r="C18" t="s">
        <v>6</v>
      </c>
    </row>
    <row r="20" spans="1:4" x14ac:dyDescent="0.25">
      <c r="A20" s="1" t="s">
        <v>23</v>
      </c>
      <c r="B20" t="s">
        <v>2</v>
      </c>
      <c r="C20" t="s">
        <v>3</v>
      </c>
    </row>
    <row r="21" spans="1:4" x14ac:dyDescent="0.25">
      <c r="A21" t="s">
        <v>24</v>
      </c>
      <c r="B21">
        <f>B13*B14*(1-B3)</f>
        <v>4.3903999999999999E-2</v>
      </c>
      <c r="C21" t="s">
        <v>9</v>
      </c>
    </row>
    <row r="22" spans="1:4" x14ac:dyDescent="0.25">
      <c r="A22" t="s">
        <v>28</v>
      </c>
      <c r="B22">
        <f>B21*B7</f>
        <v>4.4489208171799452E-2</v>
      </c>
      <c r="C22" t="s">
        <v>9</v>
      </c>
    </row>
    <row r="23" spans="1:4" x14ac:dyDescent="0.25">
      <c r="A23" t="s">
        <v>10</v>
      </c>
      <c r="B23">
        <f>B17*B18*B8</f>
        <v>2.4245880492550134E-2</v>
      </c>
      <c r="C23" t="s">
        <v>9</v>
      </c>
    </row>
    <row r="24" spans="1:4" x14ac:dyDescent="0.25">
      <c r="A24" t="s">
        <v>20</v>
      </c>
      <c r="B24" t="s">
        <v>32</v>
      </c>
      <c r="C24" t="s">
        <v>9</v>
      </c>
      <c r="D24" t="s">
        <v>35</v>
      </c>
    </row>
    <row r="25" spans="1:4" x14ac:dyDescent="0.25">
      <c r="A25" t="s">
        <v>26</v>
      </c>
      <c r="B25" t="str">
        <f>B24</f>
        <v>N/A</v>
      </c>
      <c r="C25" t="s">
        <v>9</v>
      </c>
      <c r="D25" t="s">
        <v>36</v>
      </c>
    </row>
    <row r="26" spans="1:4" x14ac:dyDescent="0.25">
      <c r="A26" t="s">
        <v>18</v>
      </c>
      <c r="B26" t="s">
        <v>32</v>
      </c>
      <c r="C26" t="s">
        <v>9</v>
      </c>
      <c r="D26" t="s">
        <v>37</v>
      </c>
    </row>
    <row r="27" spans="1:4" x14ac:dyDescent="0.25">
      <c r="A27" t="s">
        <v>25</v>
      </c>
      <c r="B27">
        <f>B22*B9</f>
        <v>9.5813494794616029E-4</v>
      </c>
      <c r="C27" t="s">
        <v>9</v>
      </c>
    </row>
    <row r="28" spans="1:4" x14ac:dyDescent="0.25">
      <c r="A28" t="s">
        <v>29</v>
      </c>
      <c r="B28">
        <f>B22-B23</f>
        <v>2.0243327679249318E-2</v>
      </c>
      <c r="C28" t="s">
        <v>9</v>
      </c>
    </row>
    <row r="29" spans="1:4" x14ac:dyDescent="0.25">
      <c r="A29" t="s">
        <v>30</v>
      </c>
      <c r="B29">
        <f>B4*B15</f>
        <v>1.6917241379310347E-2</v>
      </c>
      <c r="C29" t="s">
        <v>9</v>
      </c>
    </row>
    <row r="30" spans="1:4" x14ac:dyDescent="0.25">
      <c r="A30" t="s">
        <v>17</v>
      </c>
      <c r="B30">
        <f>B29*B6</f>
        <v>1.7983027586206898E-2</v>
      </c>
      <c r="C30" t="s">
        <v>9</v>
      </c>
    </row>
    <row r="31" spans="1:4" x14ac:dyDescent="0.25">
      <c r="A31" t="s">
        <v>27</v>
      </c>
      <c r="B31">
        <f>B30*(1-B5)</f>
        <v>1.7983027586206894E-3</v>
      </c>
      <c r="C31" t="s">
        <v>9</v>
      </c>
    </row>
    <row r="32" spans="1:4" x14ac:dyDescent="0.25">
      <c r="A32" t="s">
        <v>8</v>
      </c>
      <c r="B32" s="3">
        <f>B21-B22+B28-B29-B31-B27</f>
        <v>-1.5559578427331157E-5</v>
      </c>
      <c r="C32" t="s">
        <v>9</v>
      </c>
    </row>
    <row r="33" spans="1:3" x14ac:dyDescent="0.25">
      <c r="A33" t="s">
        <v>42</v>
      </c>
      <c r="B33" s="5">
        <f>B32/B21</f>
        <v>-3.5440001884409522E-4</v>
      </c>
      <c r="C33"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Swine</vt:lpstr>
      <vt:lpstr>Goat</vt:lpstr>
      <vt:lpstr>Poultry</vt:lpstr>
      <vt:lpstr>Dairy</vt:lpstr>
      <vt:lpstr>Beef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dc:creator>
  <cp:lastModifiedBy>Nathan Preuss</cp:lastModifiedBy>
  <dcterms:created xsi:type="dcterms:W3CDTF">2015-06-05T18:17:20Z</dcterms:created>
  <dcterms:modified xsi:type="dcterms:W3CDTF">2025-11-04T14:07:03Z</dcterms:modified>
</cp:coreProperties>
</file>